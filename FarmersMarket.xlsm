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1570" windowHeight="8265"/>
  </bookViews>
  <sheets>
    <sheet name="Play_Area" sheetId="5" r:id="rId1"/>
    <sheet name="Test" sheetId="2" state="hidden" r:id="rId2"/>
    <sheet name="Var_Holder" sheetId="3" r:id="rId3"/>
    <sheet name="Credits" sheetId="7" state="veryHidden" r:id="rId4"/>
  </sheets>
  <functionGroups builtInGroupCount="18"/>
  <definedNames>
    <definedName name="AvailableProducts">Play_Area!$D$6:$D$17</definedName>
    <definedName name="AvgPurchPrice">Var_Holder!$O$3:$O$14</definedName>
    <definedName name="Buy_Amount">Play_Area!$F$6:$F$17</definedName>
    <definedName name="DayProgress">Var_Holder!$B$4</definedName>
    <definedName name="Dump_Amount">Play_Area!$J$6:$J$17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Var_Holder!$T$3:$T$10</definedName>
    <definedName name="PriceList">Var_Holder!$J$3:$J$14</definedName>
    <definedName name="PriceMod">Var_Holder!$U$3:$U$10</definedName>
    <definedName name="Prod_Available_Check">Var_Holder!$L$3:$L$14</definedName>
    <definedName name="Prod_Carried">Play_Area!$K$6:$K$17</definedName>
    <definedName name="Prod_Carried_Check">Var_Holder!$Q$3:$R$14</definedName>
    <definedName name="Prod_Value_Carried">Var_Holder!$N$3:$N$14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est">Test!$S$5:$S$16</definedName>
    <definedName name="Test_Range">Test!$P$5:$Q$16</definedName>
    <definedName name="TotalAvgValue">Var_Holder!$B$11</definedName>
    <definedName name="TotalVolumeCarried">Var_Holder!$B$10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E7" i="3"/>
  <c r="J7" i="3" s="1"/>
  <c r="F4" i="3"/>
  <c r="E4" i="3"/>
  <c r="E3" i="3"/>
  <c r="F3" i="3"/>
  <c r="G3" i="3" s="1"/>
  <c r="E5" i="3"/>
  <c r="F5" i="3"/>
  <c r="E6" i="3"/>
  <c r="F6" i="3"/>
  <c r="J6" i="3" s="1"/>
  <c r="E8" i="3"/>
  <c r="F8" i="3"/>
  <c r="E9" i="3"/>
  <c r="F9" i="3"/>
  <c r="E10" i="3"/>
  <c r="F10" i="3"/>
  <c r="E11" i="3"/>
  <c r="F11" i="3"/>
  <c r="J11" i="3" s="1"/>
  <c r="E12" i="3"/>
  <c r="F12" i="3"/>
  <c r="J12" i="3" s="1"/>
  <c r="E13" i="3"/>
  <c r="F13" i="3"/>
  <c r="J13" i="3" s="1"/>
  <c r="E14" i="3"/>
  <c r="F14" i="3"/>
  <c r="G10" i="3" l="1"/>
  <c r="G7" i="3"/>
  <c r="J9" i="3"/>
  <c r="G6" i="3"/>
  <c r="G12" i="3"/>
  <c r="J10" i="3"/>
  <c r="J8" i="3"/>
  <c r="G13" i="3"/>
  <c r="G11" i="3"/>
  <c r="G5" i="3"/>
  <c r="J4" i="3"/>
  <c r="J3" i="3"/>
  <c r="G14" i="3"/>
  <c r="J14" i="3"/>
  <c r="J5" i="3"/>
  <c r="G4" i="3"/>
  <c r="G8" i="3"/>
  <c r="G9" i="3"/>
  <c r="O6" i="3"/>
  <c r="O7" i="3"/>
  <c r="O9" i="3"/>
  <c r="O14" i="3"/>
  <c r="O10" i="3"/>
  <c r="O11" i="3"/>
  <c r="O3" i="3"/>
  <c r="J12" i="2"/>
  <c r="B10" i="3"/>
  <c r="K8" i="2"/>
  <c r="O4" i="3"/>
  <c r="O5" i="3"/>
  <c r="O8" i="3"/>
  <c r="O12" i="3"/>
  <c r="O13" i="3"/>
  <c r="M22" i="5" l="1"/>
  <c r="Q14" i="5"/>
  <c r="B9" i="3"/>
  <c r="R7" i="3"/>
  <c r="R5" i="3"/>
  <c r="R13" i="3"/>
  <c r="R4" i="3"/>
  <c r="R8" i="3"/>
  <c r="R9" i="3"/>
  <c r="R10" i="3"/>
  <c r="R11" i="3"/>
  <c r="R12" i="3"/>
  <c r="R6" i="3"/>
  <c r="R14" i="3"/>
  <c r="R3" i="3"/>
  <c r="Q13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Q7" i="3"/>
  <c r="Q5" i="3"/>
  <c r="Q13" i="3"/>
  <c r="Q4" i="3"/>
  <c r="Q8" i="3"/>
  <c r="Q9" i="3"/>
  <c r="Q10" i="3"/>
  <c r="Q11" i="3"/>
  <c r="Q12" i="3"/>
  <c r="Q6" i="3"/>
  <c r="Q14" i="3"/>
  <c r="Q3" i="3"/>
  <c r="I2" i="2" l="1"/>
  <c r="H10" i="2" s="1"/>
  <c r="C28" i="5"/>
  <c r="C27" i="5"/>
  <c r="C26" i="5"/>
  <c r="C25" i="5"/>
  <c r="Q12" i="5"/>
  <c r="Q11" i="5"/>
  <c r="Q10" i="5"/>
  <c r="L6" i="5"/>
  <c r="L10" i="5"/>
  <c r="M12" i="5"/>
  <c r="L17" i="5"/>
  <c r="L12" i="5"/>
  <c r="L13" i="5"/>
  <c r="M8" i="5"/>
  <c r="M15" i="5"/>
  <c r="L14" i="5"/>
  <c r="M9" i="5"/>
  <c r="M6" i="5"/>
  <c r="L8" i="5"/>
  <c r="L11" i="5"/>
  <c r="M17" i="5"/>
  <c r="L15" i="5"/>
  <c r="L16" i="5"/>
  <c r="M11" i="5"/>
  <c r="M10" i="5"/>
  <c r="M13" i="5"/>
  <c r="M16" i="5"/>
  <c r="L9" i="5"/>
  <c r="L7" i="5"/>
  <c r="M14" i="5"/>
  <c r="M7" i="5"/>
  <c r="C2" i="2"/>
  <c r="F20" i="5" l="1"/>
  <c r="F19" i="5"/>
  <c r="F21" i="5" l="1"/>
</calcChain>
</file>

<file path=xl/sharedStrings.xml><?xml version="1.0" encoding="utf-8"?>
<sst xmlns="http://schemas.openxmlformats.org/spreadsheetml/2006/main" count="138" uniqueCount="94">
  <si>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</si>
  <si>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</si>
  <si>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</si>
  <si>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</si>
  <si>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</si>
  <si>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</si>
  <si>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</si>
  <si>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</si>
  <si>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</si>
  <si>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</si>
  <si>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</si>
  <si>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</si>
  <si>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</si>
  <si>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</si>
  <si>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</si>
  <si>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</si>
  <si>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</si>
  <si>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</si>
  <si>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</si>
  <si>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</si>
  <si>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</si>
  <si>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</si>
  <si>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</si>
  <si>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</si>
  <si>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</si>
  <si>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</si>
  <si>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</si>
  <si>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</si>
  <si>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</si>
  <si>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</si>
  <si>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</si>
  <si>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</si>
  <si>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</si>
  <si>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</si>
  <si>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</si>
  <si>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</si>
  <si>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</si>
  <si>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</si>
  <si>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</si>
  <si>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</si>
  <si>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</si>
  <si>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</si>
  <si>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</si>
  <si>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</si>
  <si>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</si>
  <si>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</si>
  <si>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</si>
  <si>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</si>
  <si>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</si>
  <si>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</si>
  <si>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</si>
  <si>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AvailProd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</si>
  <si>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</si>
  <si>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</si>
  <si>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</si>
  <si>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</si>
  <si>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</si>
  <si>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</si>
  <si>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</si>
  <si>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</si>
  <si>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</si>
  <si>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</si>
  <si>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</si>
  <si>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</si>
  <si>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</si>
  <si>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</si>
  <si>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</si>
  <si>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</si>
  <si>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</si>
  <si>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</si>
  <si>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</si>
  <si>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</si>
  <si>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</si>
  <si>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</si>
  <si>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</si>
  <si>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</si>
  <si>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</si>
  <si>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</si>
  <si>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</si>
  <si>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Misc Variables</t>
  </si>
  <si>
    <t>Windy</t>
  </si>
  <si>
    <t>Humid</t>
  </si>
  <si>
    <t>Foggy</t>
  </si>
  <si>
    <t>Hail</t>
  </si>
  <si>
    <t>Sleet</t>
  </si>
  <si>
    <t>Mist</t>
  </si>
  <si>
    <t>Drought</t>
  </si>
  <si>
    <t>MaxCapacity:</t>
  </si>
  <si>
    <t>Capacity:</t>
  </si>
  <si>
    <t>Dump Amount</t>
  </si>
  <si>
    <t>Moved to: Union Sq Park</t>
  </si>
  <si>
    <t>Moved to: Riverside Park</t>
  </si>
  <si>
    <t>Moved to: Battery Park</t>
  </si>
  <si>
    <t>Tranaction Complete: $111.65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</si>
</sst>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7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=""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=""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=""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F20" sqref="F20:G20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4" t="s">
        <v>36</v>
      </c>
      <c r="E4" s="45"/>
      <c r="F4" s="57" t="s">
        <v>52</v>
      </c>
      <c r="G4" s="43" t="s">
        <v>53</v>
      </c>
      <c r="H4" s="4"/>
      <c r="I4" s="4"/>
      <c r="J4" s="43" t="s">
        <v>89</v>
      </c>
      <c r="K4" s="44" t="s">
        <v>44</v>
      </c>
      <c r="L4" s="55"/>
      <c r="M4" s="45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7"/>
      <c r="G5" s="43"/>
      <c r="H5" s="4"/>
      <c r="I5" s="4"/>
      <c r="J5" s="43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24</v>
      </c>
      <c r="E6" s="19">
        <v>10.673771769035319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14</v>
      </c>
      <c r="E7" s="19">
        <v>1.3955859125264183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12</v>
      </c>
      <c r="E8" s="19">
        <v>6.1820518188677411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8</v>
      </c>
      <c r="E9" s="19">
        <v>120.49872758208643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13</v>
      </c>
      <c r="E10" s="19">
        <v>26.402280253870778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10</v>
      </c>
      <c r="R10" s="3"/>
      <c r="S10" s="1"/>
    </row>
    <row r="11" spans="1:19" ht="15.75" x14ac:dyDescent="0.3">
      <c r="A11" s="1"/>
      <c r="B11" s="3"/>
      <c r="C11" s="8"/>
      <c r="D11" s="17" t="s">
        <v>17</v>
      </c>
      <c r="E11" s="19">
        <v>10.542121013548362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16" t="s">
        <v>26</v>
      </c>
      <c r="Q11" s="15" t="str">
        <f>Location</f>
        <v>Battery Park</v>
      </c>
      <c r="R11" s="3"/>
      <c r="S11" s="1"/>
    </row>
    <row r="12" spans="1:19" ht="15.75" x14ac:dyDescent="0.3">
      <c r="A12" s="1"/>
      <c r="B12" s="3"/>
      <c r="C12" s="8"/>
      <c r="D12" s="17" t="s">
        <v>10</v>
      </c>
      <c r="E12" s="19">
        <v>2.2636704029124073</v>
      </c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25</v>
      </c>
      <c r="Q12" s="26">
        <f>MoneyOnHandVariable</f>
        <v>116.93</v>
      </c>
      <c r="R12" s="3"/>
      <c r="S12" s="1"/>
    </row>
    <row r="13" spans="1:19" ht="15.75" x14ac:dyDescent="0.3">
      <c r="A13" s="1"/>
      <c r="B13" s="3"/>
      <c r="C13" s="8"/>
      <c r="D13" s="17" t="s">
        <v>11</v>
      </c>
      <c r="E13" s="19">
        <v>8.9584962866891225</v>
      </c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63</v>
      </c>
      <c r="Q13" s="26">
        <f>InventoryValue+MoneyOnHandVariable</f>
        <v>116.93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88</v>
      </c>
      <c r="Q14" s="15" t="str">
        <f>TotalVolumeCarried &amp; "/" &amp; MaxCapacity</f>
        <v>0/100</v>
      </c>
      <c r="R14" s="3"/>
      <c r="S14" s="1"/>
    </row>
    <row r="15" spans="1:19" x14ac:dyDescent="0.25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8"/>
      <c r="Q15" s="9"/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0"/>
      <c r="E18" s="61"/>
      <c r="F18" s="61"/>
      <c r="G18" s="62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3" t="s">
        <v>55</v>
      </c>
      <c r="E19" s="64"/>
      <c r="F19" s="41">
        <f>SUMPRODUCT(ProdAvailPrice,Buy_Amount)</f>
        <v>0</v>
      </c>
      <c r="G19" s="42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8" t="s">
        <v>56</v>
      </c>
      <c r="E20" s="59"/>
      <c r="F20" s="41">
        <f>SUMPRODUCT(ProdAvailPrice,Sell_Amount)</f>
        <v>0</v>
      </c>
      <c r="G20" s="42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3" t="s">
        <v>57</v>
      </c>
      <c r="E21" s="64"/>
      <c r="F21" s="41">
        <f>SUM(-Purchase_Total,Sale_Total)</f>
        <v>0</v>
      </c>
      <c r="G21" s="42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6"/>
      <c r="E22" s="56"/>
      <c r="F22" s="4"/>
      <c r="G22" s="18"/>
      <c r="H22" s="4"/>
      <c r="I22" s="4"/>
      <c r="J22" s="33"/>
      <c r="K22" s="33" t="s">
        <v>62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2" t="str">
        <f>"&gt; "&amp;Message</f>
        <v>&gt; Tranaction Complete: $111.65</v>
      </c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3"/>
      <c r="P25" s="8"/>
      <c r="Q25" s="9"/>
      <c r="R25" s="3"/>
      <c r="S25" s="1"/>
    </row>
    <row r="26" spans="1:19" x14ac:dyDescent="0.25">
      <c r="A26" s="1"/>
      <c r="B26" s="3"/>
      <c r="C26" s="49" t="str">
        <f>Message1</f>
        <v>Moved to: Battery Park</v>
      </c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1"/>
      <c r="O26" s="3"/>
      <c r="P26" s="8"/>
      <c r="Q26" s="9"/>
      <c r="R26" s="3"/>
      <c r="S26" s="1"/>
    </row>
    <row r="27" spans="1:19" x14ac:dyDescent="0.25">
      <c r="A27" s="1"/>
      <c r="B27" s="3"/>
      <c r="C27" s="49" t="str">
        <f>Message2</f>
        <v>Moved to: Union Sq Park</v>
      </c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1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46" t="str">
        <f>Message3</f>
        <v>Moved to: Riverside Park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8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selectLockedCells="1"/>
  <mergeCells count="17">
    <mergeCell ref="D21:E21"/>
    <mergeCell ref="F21:G21"/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</mergeCells>
  <conditionalFormatting sqref="P3:Q6">
    <cfRule type="expression" dxfId="0" priority="1">
      <formula>P3=$Q$11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T16"/>
  <sheetViews>
    <sheetView workbookViewId="0">
      <selection activeCell="D40" sqref="D40"/>
    </sheetView>
  </sheetViews>
  <sheetFormatPr defaultRowHeight="15" x14ac:dyDescent="0.25"/>
  <sheetData>
    <row r="2" spans="3:20" x14ac:dyDescent="0.25">
      <c r="C2" t="e">
        <f ca="1">MoneyOnHand()</f>
        <v>#NAME?</v>
      </c>
      <c r="I2" t="str">
        <f>Location</f>
        <v>Battery Park</v>
      </c>
    </row>
    <row r="4" spans="3:20" x14ac:dyDescent="0.25">
      <c r="O4" t="s">
        <v>54</v>
      </c>
      <c r="P4" t="s">
        <v>49</v>
      </c>
      <c r="Q4" t="s">
        <v>37</v>
      </c>
      <c r="S4" t="s">
        <v>51</v>
      </c>
    </row>
    <row r="5" spans="3:20" x14ac:dyDescent="0.25">
      <c r="O5">
        <v>699</v>
      </c>
      <c r="P5">
        <v>1</v>
      </c>
      <c r="Q5" t="s">
        <v>24</v>
      </c>
      <c r="S5">
        <v>1</v>
      </c>
    </row>
    <row r="6" spans="3:20" x14ac:dyDescent="0.25">
      <c r="O6">
        <v>33.199999999999996</v>
      </c>
      <c r="P6">
        <v>1</v>
      </c>
      <c r="Q6" t="s">
        <v>9</v>
      </c>
      <c r="S6">
        <v>1</v>
      </c>
    </row>
    <row r="7" spans="3:20" x14ac:dyDescent="0.25">
      <c r="O7">
        <v>0</v>
      </c>
      <c r="P7">
        <v>1</v>
      </c>
      <c r="Q7" t="s">
        <v>12</v>
      </c>
      <c r="S7">
        <v>1</v>
      </c>
    </row>
    <row r="8" spans="3:20" x14ac:dyDescent="0.25">
      <c r="K8">
        <f>SUM(Buy_Amount,Sell_Amount)</f>
        <v>0</v>
      </c>
      <c r="O8">
        <v>94</v>
      </c>
      <c r="P8">
        <v>0</v>
      </c>
      <c r="Q8" t="s">
        <v>10</v>
      </c>
      <c r="S8">
        <v>0</v>
      </c>
    </row>
    <row r="9" spans="3:20" x14ac:dyDescent="0.25">
      <c r="O9">
        <v>110.15</v>
      </c>
      <c r="P9">
        <v>0</v>
      </c>
      <c r="Q9" t="s">
        <v>14</v>
      </c>
      <c r="S9">
        <v>0</v>
      </c>
    </row>
    <row r="10" spans="3:20" x14ac:dyDescent="0.25">
      <c r="H10">
        <f>MATCH(I2,I1:I3,0)</f>
        <v>2</v>
      </c>
      <c r="O10">
        <v>0</v>
      </c>
      <c r="P10">
        <v>1</v>
      </c>
      <c r="Q10" t="s">
        <v>13</v>
      </c>
      <c r="S10">
        <v>1</v>
      </c>
    </row>
    <row r="11" spans="3:20" x14ac:dyDescent="0.25">
      <c r="O11">
        <v>0</v>
      </c>
      <c r="P11">
        <v>0</v>
      </c>
      <c r="Q11" t="s">
        <v>15</v>
      </c>
      <c r="S11" s="32">
        <v>0</v>
      </c>
    </row>
    <row r="12" spans="3:20" x14ac:dyDescent="0.25">
      <c r="J12">
        <f>INDEX(Prod_Value_Carried,MATCH("Corn",ProductList,0))</f>
        <v>0</v>
      </c>
      <c r="O12">
        <v>740.45999999999992</v>
      </c>
      <c r="P12">
        <v>1</v>
      </c>
      <c r="Q12" t="s">
        <v>18</v>
      </c>
      <c r="S12" s="32">
        <v>1</v>
      </c>
      <c r="T12" s="32"/>
    </row>
    <row r="13" spans="3:20" x14ac:dyDescent="0.25">
      <c r="O13">
        <v>173.91</v>
      </c>
      <c r="P13">
        <v>0</v>
      </c>
      <c r="Q13" t="s">
        <v>16</v>
      </c>
      <c r="S13">
        <v>0</v>
      </c>
    </row>
    <row r="14" spans="3:20" x14ac:dyDescent="0.25">
      <c r="O14">
        <v>0</v>
      </c>
      <c r="P14">
        <v>0</v>
      </c>
      <c r="Q14" t="s">
        <v>17</v>
      </c>
      <c r="S14" s="32">
        <v>0</v>
      </c>
    </row>
    <row r="15" spans="3:20" x14ac:dyDescent="0.25">
      <c r="O15">
        <v>464.20000000000005</v>
      </c>
      <c r="P15">
        <v>1</v>
      </c>
      <c r="Q15" t="s">
        <v>8</v>
      </c>
      <c r="S15" s="32">
        <v>1</v>
      </c>
    </row>
    <row r="16" spans="3:20" x14ac:dyDescent="0.25">
      <c r="O16">
        <v>30</v>
      </c>
      <c r="P16">
        <v>0</v>
      </c>
      <c r="Q16" t="s">
        <v>11</v>
      </c>
      <c r="S16" s="3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7"/>
  <sheetViews>
    <sheetView workbookViewId="0">
      <selection activeCell="B40" sqref="B40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12.28515625" bestFit="1" customWidth="1"/>
    <col min="19" max="19" width="2.5703125" style="35" customWidth="1"/>
    <col min="20" max="20" width="19.42578125" bestFit="1" customWidth="1"/>
    <col min="21" max="21" width="17.42578125" bestFit="1" customWidth="1"/>
    <col min="22" max="22" width="2.5703125" style="35" customWidth="1"/>
    <col min="24" max="24" width="8.7109375" bestFit="1" customWidth="1"/>
  </cols>
  <sheetData>
    <row r="1" spans="1:25" x14ac:dyDescent="0.25">
      <c r="A1" s="65" t="s">
        <v>67</v>
      </c>
      <c r="B1" s="65"/>
      <c r="C1" s="36"/>
      <c r="D1" s="65" t="s">
        <v>48</v>
      </c>
      <c r="E1" s="65"/>
      <c r="F1" s="65"/>
      <c r="G1" s="65"/>
      <c r="H1" s="65"/>
      <c r="I1" s="65"/>
      <c r="J1" s="65"/>
      <c r="K1" s="65"/>
      <c r="L1" s="65"/>
      <c r="M1" s="36"/>
      <c r="N1" s="65" t="s">
        <v>68</v>
      </c>
      <c r="O1" s="65"/>
      <c r="P1" s="65"/>
      <c r="Q1" s="65"/>
      <c r="R1" s="65"/>
      <c r="S1" s="36"/>
      <c r="T1" s="65" t="s">
        <v>69</v>
      </c>
      <c r="U1" s="65"/>
      <c r="V1" s="36"/>
      <c r="W1" s="65" t="s">
        <v>79</v>
      </c>
      <c r="X1" s="65"/>
      <c r="Y1" s="65"/>
    </row>
    <row r="2" spans="1:25" x14ac:dyDescent="0.25">
      <c r="A2" t="s">
        <v>0</v>
      </c>
      <c r="B2" s="13">
        <v>116.93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66</v>
      </c>
      <c r="K2" s="37" t="s">
        <v>19</v>
      </c>
      <c r="L2" s="38" t="s">
        <v>49</v>
      </c>
      <c r="M2" s="40"/>
      <c r="N2" s="37" t="s">
        <v>54</v>
      </c>
      <c r="O2" s="37" t="s">
        <v>45</v>
      </c>
      <c r="P2" s="37">
        <v>10</v>
      </c>
      <c r="Q2" s="37" t="s">
        <v>50</v>
      </c>
      <c r="R2" s="38" t="s">
        <v>37</v>
      </c>
      <c r="S2" s="40"/>
      <c r="T2" s="37" t="s">
        <v>47</v>
      </c>
      <c r="U2" s="37" t="s">
        <v>30</v>
      </c>
      <c r="V2" s="40"/>
      <c r="W2" s="37" t="s">
        <v>70</v>
      </c>
    </row>
    <row r="3" spans="1:25" x14ac:dyDescent="0.25">
      <c r="A3" t="s">
        <v>27</v>
      </c>
      <c r="B3" s="13" t="s">
        <v>28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ca="1">RANDBETWEEN(E3,F3)+RAND()</f>
        <v>37.965656069722684</v>
      </c>
      <c r="K3" t="s">
        <v>22</v>
      </c>
      <c r="L3">
        <f t="shared" ref="L3:L14" ca="1" si="2">RANDBETWEEN(0,1)</f>
        <v>1</v>
      </c>
      <c r="N3" s="32">
        <v>0</v>
      </c>
      <c r="O3">
        <f>IFERROR(N3/P3,0)</f>
        <v>0</v>
      </c>
      <c r="P3">
        <v>0</v>
      </c>
      <c r="Q3">
        <f t="shared" ref="Q3:Q14" si="3">IF(P3&gt;0,1,0)</f>
        <v>0</v>
      </c>
      <c r="R3" t="str">
        <f>D3</f>
        <v>Blueberries</v>
      </c>
      <c r="T3" t="s">
        <v>28</v>
      </c>
      <c r="U3" s="12">
        <v>1</v>
      </c>
      <c r="W3" t="s">
        <v>71</v>
      </c>
    </row>
    <row r="4" spans="1:25" x14ac:dyDescent="0.25">
      <c r="A4" t="s">
        <v>39</v>
      </c>
      <c r="B4">
        <v>10</v>
      </c>
      <c r="D4" t="s">
        <v>14</v>
      </c>
      <c r="E4">
        <f t="shared" ref="E4" si="4">H4-I4</f>
        <v>0.10999999999999999</v>
      </c>
      <c r="F4">
        <f t="shared" ref="F4" si="5">H4+I4</f>
        <v>0.6</v>
      </c>
      <c r="G4">
        <f t="shared" ref="G4" si="6">F4-E4</f>
        <v>0.49</v>
      </c>
      <c r="H4">
        <v>0.35499999999999998</v>
      </c>
      <c r="I4">
        <v>0.245</v>
      </c>
      <c r="J4" s="12">
        <f t="shared" ref="J4" ca="1" si="7">RANDBETWEEN(E4,F4)+RAND()</f>
        <v>1.2526492071414146</v>
      </c>
      <c r="K4" t="s">
        <v>20</v>
      </c>
      <c r="L4">
        <f t="shared" ca="1" si="2"/>
        <v>1</v>
      </c>
      <c r="N4" s="32">
        <v>0</v>
      </c>
      <c r="O4">
        <f t="shared" ref="O4:O14" si="8">IFERROR(N4/P4,0)</f>
        <v>0</v>
      </c>
      <c r="P4">
        <v>0</v>
      </c>
      <c r="Q4">
        <f t="shared" si="3"/>
        <v>0</v>
      </c>
      <c r="R4" t="str">
        <f>D4</f>
        <v>Corn</v>
      </c>
      <c r="T4" t="s">
        <v>2</v>
      </c>
      <c r="U4" s="12">
        <v>1</v>
      </c>
      <c r="W4" t="s">
        <v>72</v>
      </c>
    </row>
    <row r="5" spans="1:25" x14ac:dyDescent="0.25">
      <c r="A5" t="s">
        <v>40</v>
      </c>
      <c r="B5" t="s">
        <v>93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9">F5-E5</f>
        <v>8</v>
      </c>
      <c r="H5">
        <v>8.8000000000000007</v>
      </c>
      <c r="I5">
        <v>4</v>
      </c>
      <c r="J5" s="12">
        <f t="shared" ref="J5:J14" ca="1" si="10">RANDBETWEEN(E5,F5)+RAND()</f>
        <v>8.4286615374149711</v>
      </c>
      <c r="K5" t="s">
        <v>23</v>
      </c>
      <c r="L5">
        <f t="shared" ca="1" si="2"/>
        <v>0</v>
      </c>
      <c r="N5" s="32">
        <v>0</v>
      </c>
      <c r="O5">
        <f t="shared" si="8"/>
        <v>0</v>
      </c>
      <c r="P5">
        <v>0</v>
      </c>
      <c r="Q5">
        <f t="shared" si="3"/>
        <v>0</v>
      </c>
      <c r="R5" t="str">
        <f>D5</f>
        <v>Cucumber</v>
      </c>
      <c r="T5" t="s">
        <v>1</v>
      </c>
      <c r="U5" s="12">
        <v>1</v>
      </c>
      <c r="W5" t="s">
        <v>73</v>
      </c>
    </row>
    <row r="6" spans="1:25" x14ac:dyDescent="0.25">
      <c r="A6" t="s">
        <v>41</v>
      </c>
      <c r="B6" t="s">
        <v>92</v>
      </c>
      <c r="D6" t="s">
        <v>8</v>
      </c>
      <c r="E6">
        <f t="shared" si="0"/>
        <v>55</v>
      </c>
      <c r="F6">
        <f t="shared" si="1"/>
        <v>130</v>
      </c>
      <c r="G6">
        <f t="shared" si="9"/>
        <v>75</v>
      </c>
      <c r="H6">
        <v>92.5</v>
      </c>
      <c r="I6">
        <v>37.5</v>
      </c>
      <c r="J6" s="12">
        <f t="shared" ca="1" si="10"/>
        <v>86.92802046179807</v>
      </c>
      <c r="K6" t="s">
        <v>20</v>
      </c>
      <c r="L6">
        <f t="shared" ca="1" si="2"/>
        <v>1</v>
      </c>
      <c r="N6" s="32">
        <v>0</v>
      </c>
      <c r="O6">
        <f t="shared" si="8"/>
        <v>0</v>
      </c>
      <c r="P6">
        <v>0</v>
      </c>
      <c r="Q6">
        <f t="shared" si="3"/>
        <v>0</v>
      </c>
      <c r="R6" t="str">
        <f>D6</f>
        <v>Eggs</v>
      </c>
      <c r="T6" t="s">
        <v>6</v>
      </c>
      <c r="U6" s="12">
        <v>1</v>
      </c>
      <c r="W6" t="s">
        <v>74</v>
      </c>
    </row>
    <row r="7" spans="1:25" x14ac:dyDescent="0.25">
      <c r="A7" t="s">
        <v>42</v>
      </c>
      <c r="B7" t="s">
        <v>90</v>
      </c>
      <c r="D7" t="s">
        <v>9</v>
      </c>
      <c r="E7">
        <f t="shared" ref="E7" si="11">H7-I7</f>
        <v>150</v>
      </c>
      <c r="F7">
        <f t="shared" ref="F7" si="12">H7+I7</f>
        <v>290</v>
      </c>
      <c r="G7">
        <f t="shared" ref="G7" si="13">F7-E7</f>
        <v>140</v>
      </c>
      <c r="H7">
        <v>220</v>
      </c>
      <c r="I7">
        <v>70</v>
      </c>
      <c r="J7" s="12">
        <f t="shared" ref="J7" ca="1" si="14">RANDBETWEEN(E7,F7)+RAND()</f>
        <v>189.75038968494999</v>
      </c>
      <c r="K7" t="s">
        <v>21</v>
      </c>
      <c r="L7">
        <f t="shared" ca="1" si="2"/>
        <v>1</v>
      </c>
      <c r="N7" s="32">
        <v>0</v>
      </c>
      <c r="O7">
        <f t="shared" si="8"/>
        <v>0</v>
      </c>
      <c r="P7">
        <v>0</v>
      </c>
      <c r="Q7">
        <f t="shared" si="3"/>
        <v>0</v>
      </c>
      <c r="R7" t="str">
        <f>D7</f>
        <v>Honey</v>
      </c>
      <c r="T7" t="s">
        <v>3</v>
      </c>
      <c r="U7" s="12">
        <v>1</v>
      </c>
      <c r="W7" t="s">
        <v>75</v>
      </c>
    </row>
    <row r="8" spans="1:25" x14ac:dyDescent="0.25">
      <c r="A8" t="s">
        <v>43</v>
      </c>
      <c r="B8" t="s">
        <v>91</v>
      </c>
      <c r="D8" t="s">
        <v>13</v>
      </c>
      <c r="E8">
        <f t="shared" si="0"/>
        <v>15</v>
      </c>
      <c r="F8">
        <f t="shared" si="1"/>
        <v>44</v>
      </c>
      <c r="G8">
        <f t="shared" si="9"/>
        <v>29</v>
      </c>
      <c r="H8">
        <v>29.5</v>
      </c>
      <c r="I8">
        <v>14.5</v>
      </c>
      <c r="J8" s="12">
        <f t="shared" ca="1" si="10"/>
        <v>18.557218480947871</v>
      </c>
      <c r="K8" t="s">
        <v>22</v>
      </c>
      <c r="L8">
        <f t="shared" ca="1" si="2"/>
        <v>0</v>
      </c>
      <c r="N8" s="32">
        <v>0</v>
      </c>
      <c r="O8">
        <f t="shared" si="8"/>
        <v>0</v>
      </c>
      <c r="P8">
        <v>0</v>
      </c>
      <c r="Q8">
        <f t="shared" si="3"/>
        <v>0</v>
      </c>
      <c r="R8" t="str">
        <f>D8</f>
        <v>Okra</v>
      </c>
      <c r="T8" t="s">
        <v>7</v>
      </c>
      <c r="U8" s="12">
        <v>1</v>
      </c>
      <c r="W8" t="s">
        <v>76</v>
      </c>
    </row>
    <row r="9" spans="1:25" x14ac:dyDescent="0.25">
      <c r="A9" t="s">
        <v>61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9"/>
        <v>7.1000000000000005</v>
      </c>
      <c r="H9">
        <v>8.9499999999999993</v>
      </c>
      <c r="I9">
        <v>3.55</v>
      </c>
      <c r="J9" s="12">
        <f t="shared" ca="1" si="10"/>
        <v>11.81636595528623</v>
      </c>
      <c r="K9" t="s">
        <v>23</v>
      </c>
      <c r="L9">
        <f t="shared" ca="1" si="2"/>
        <v>0</v>
      </c>
      <c r="N9" s="32">
        <v>0</v>
      </c>
      <c r="O9">
        <f t="shared" si="8"/>
        <v>0</v>
      </c>
      <c r="P9">
        <v>0</v>
      </c>
      <c r="Q9">
        <f t="shared" si="3"/>
        <v>0</v>
      </c>
      <c r="R9" t="str">
        <f>D9</f>
        <v>Onion</v>
      </c>
      <c r="T9" t="s">
        <v>4</v>
      </c>
      <c r="U9" s="12">
        <v>1</v>
      </c>
      <c r="W9" t="s">
        <v>77</v>
      </c>
    </row>
    <row r="10" spans="1:25" x14ac:dyDescent="0.25">
      <c r="A10" t="s">
        <v>64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9"/>
        <v>15</v>
      </c>
      <c r="H10">
        <v>17.5</v>
      </c>
      <c r="I10">
        <v>7.5</v>
      </c>
      <c r="J10" s="12">
        <f t="shared" ca="1" si="10"/>
        <v>16.993886096175729</v>
      </c>
      <c r="K10" t="s">
        <v>23</v>
      </c>
      <c r="L10">
        <f t="shared" ca="1" si="2"/>
        <v>0</v>
      </c>
      <c r="N10" s="32">
        <v>0</v>
      </c>
      <c r="O10">
        <f t="shared" si="8"/>
        <v>0</v>
      </c>
      <c r="P10">
        <v>0</v>
      </c>
      <c r="Q10">
        <f t="shared" si="3"/>
        <v>0</v>
      </c>
      <c r="R10" t="str">
        <f>D10</f>
        <v>Papaya</v>
      </c>
      <c r="T10" t="s">
        <v>5</v>
      </c>
      <c r="U10" s="12">
        <v>1</v>
      </c>
      <c r="W10" t="s">
        <v>78</v>
      </c>
    </row>
    <row r="11" spans="1:25" x14ac:dyDescent="0.25">
      <c r="A11" t="s">
        <v>65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9"/>
        <v>4.8000000000000007</v>
      </c>
      <c r="H11">
        <v>4.5999999999999996</v>
      </c>
      <c r="I11">
        <v>2.4</v>
      </c>
      <c r="J11" s="12">
        <f t="shared" ca="1" si="10"/>
        <v>6.3707058513933257</v>
      </c>
      <c r="K11" t="s">
        <v>23</v>
      </c>
      <c r="L11">
        <f t="shared" ca="1" si="2"/>
        <v>0</v>
      </c>
      <c r="N11" s="32">
        <v>0</v>
      </c>
      <c r="O11">
        <f t="shared" si="8"/>
        <v>0</v>
      </c>
      <c r="P11">
        <v>0</v>
      </c>
      <c r="Q11">
        <f t="shared" si="3"/>
        <v>0</v>
      </c>
      <c r="R11" t="str">
        <f>D11</f>
        <v>Quince</v>
      </c>
      <c r="W11" t="s">
        <v>80</v>
      </c>
    </row>
    <row r="12" spans="1:25" x14ac:dyDescent="0.25">
      <c r="A12" t="s">
        <v>87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9"/>
        <v>6.6999999999999993</v>
      </c>
      <c r="H12">
        <v>9.65</v>
      </c>
      <c r="I12">
        <v>3.35</v>
      </c>
      <c r="J12" s="12">
        <f t="shared" ca="1" si="10"/>
        <v>11.145031086162243</v>
      </c>
      <c r="K12" t="s">
        <v>23</v>
      </c>
      <c r="L12">
        <f t="shared" ca="1" si="2"/>
        <v>1</v>
      </c>
      <c r="N12" s="32">
        <v>0</v>
      </c>
      <c r="O12">
        <f t="shared" si="8"/>
        <v>0</v>
      </c>
      <c r="P12">
        <v>0</v>
      </c>
      <c r="Q12">
        <f t="shared" si="3"/>
        <v>0</v>
      </c>
      <c r="R12" t="str">
        <f>D12</f>
        <v>Rhubarb</v>
      </c>
      <c r="W12" t="s">
        <v>81</v>
      </c>
    </row>
    <row r="13" spans="1:25" x14ac:dyDescent="0.25">
      <c r="D13" t="s">
        <v>10</v>
      </c>
      <c r="E13">
        <f t="shared" si="0"/>
        <v>0.89999999999999991</v>
      </c>
      <c r="F13">
        <f t="shared" si="1"/>
        <v>2.5</v>
      </c>
      <c r="G13">
        <f t="shared" si="9"/>
        <v>1.6</v>
      </c>
      <c r="H13">
        <v>1.7</v>
      </c>
      <c r="I13">
        <v>0.8</v>
      </c>
      <c r="J13" s="12">
        <f t="shared" ca="1" si="10"/>
        <v>1.205327033767051</v>
      </c>
      <c r="K13" t="s">
        <v>22</v>
      </c>
      <c r="L13">
        <f t="shared" ca="1" si="2"/>
        <v>1</v>
      </c>
      <c r="N13" s="32">
        <v>0</v>
      </c>
      <c r="O13">
        <f t="shared" si="8"/>
        <v>0</v>
      </c>
      <c r="P13">
        <v>0</v>
      </c>
      <c r="Q13">
        <f t="shared" si="3"/>
        <v>0</v>
      </c>
      <c r="R13" t="str">
        <f>D13</f>
        <v>Strawberries</v>
      </c>
      <c r="W13" t="s">
        <v>82</v>
      </c>
    </row>
    <row r="14" spans="1:25" x14ac:dyDescent="0.25">
      <c r="D14" t="s">
        <v>11</v>
      </c>
      <c r="E14">
        <f t="shared" si="0"/>
        <v>3.1500000000000004</v>
      </c>
      <c r="F14">
        <f t="shared" si="1"/>
        <v>8.9</v>
      </c>
      <c r="G14">
        <f t="shared" si="9"/>
        <v>5.75</v>
      </c>
      <c r="H14">
        <v>6.0250000000000004</v>
      </c>
      <c r="I14">
        <v>2.875</v>
      </c>
      <c r="J14" s="12">
        <f t="shared" ca="1" si="10"/>
        <v>4.4368816089584735</v>
      </c>
      <c r="K14" t="s">
        <v>23</v>
      </c>
      <c r="L14">
        <f t="shared" ca="1" si="2"/>
        <v>1</v>
      </c>
      <c r="N14" s="32">
        <v>0</v>
      </c>
      <c r="O14">
        <f t="shared" si="8"/>
        <v>0</v>
      </c>
      <c r="P14">
        <v>0</v>
      </c>
      <c r="Q14">
        <f t="shared" si="3"/>
        <v>0</v>
      </c>
      <c r="R14" t="str">
        <f>D14</f>
        <v>Tomatoes</v>
      </c>
      <c r="W14" t="s">
        <v>83</v>
      </c>
    </row>
    <row r="15" spans="1:25" x14ac:dyDescent="0.25">
      <c r="W15" t="s">
        <v>84</v>
      </c>
    </row>
    <row r="16" spans="1:25" x14ac:dyDescent="0.25">
      <c r="W16" t="s">
        <v>86</v>
      </c>
    </row>
    <row r="17" spans="23:23" x14ac:dyDescent="0.25">
      <c r="W17" t="s">
        <v>85</v>
      </c>
    </row>
  </sheetData>
  <sortState ref="D3:S11">
    <sortCondition ref="R3"/>
  </sortState>
  <mergeCells count="5">
    <mergeCell ref="T1:U1"/>
    <mergeCell ref="N1:R1"/>
    <mergeCell ref="A1:B1"/>
    <mergeCell ref="D1:L1"/>
    <mergeCell ref="W1:Y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6" t="s">
        <v>58</v>
      </c>
      <c r="B1" s="30" t="s">
        <v>59</v>
      </c>
    </row>
    <row r="2" spans="1:2" ht="26.25" x14ac:dyDescent="0.4">
      <c r="A2" s="66"/>
      <c r="B2" s="31" t="s">
        <v>60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Play_Area</vt:lpstr>
      <vt:lpstr>Test</vt:lpstr>
      <vt:lpstr>Var_Holder</vt:lpstr>
      <vt:lpstr>AvailableProducts</vt:lpstr>
      <vt:lpstr>AvgPurchPrice</vt:lpstr>
      <vt:lpstr>Buy_Amount</vt:lpstr>
      <vt:lpstr>DayProgress</vt:lpstr>
      <vt:lpstr>Dump_Amount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Test</vt:lpstr>
      <vt:lpstr>Test_Range</vt:lpstr>
      <vt:lpstr>TotalAvgValue</vt:lpstr>
      <vt:lpstr>TotalVolumeCarried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2017-08-26T17:00:40Z</dcterms:modified>
</cp:coreProperties>
</file>