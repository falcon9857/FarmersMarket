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8800" windowHeight="12585"/>
  </bookViews>
  <sheets>
    <sheet name="Play_Area" sheetId="5" r:id="rId1"/>
    <sheet name="Test" sheetId="2" r:id="rId2"/>
    <sheet name="Var_Holder" sheetId="3" r:id="rId3"/>
    <sheet name="Scope" sheetId="6" r:id="rId4"/>
  </sheets>
  <functionGroups builtInGroupCount="18"/>
  <definedNames>
    <definedName name="AvailableProducts">Play_Area!$D$6:$D$17</definedName>
    <definedName name="AvgPurchPrice">Var_Holder!$O$3:$O$14</definedName>
    <definedName name="DayProgress">Var_Holder!$B$4</definedName>
    <definedName name="Location">Var_Holder!$B$3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PossibleLocations">Var_Holder!$T$3:$T$10</definedName>
    <definedName name="PriceList">Var_Holder!$H$3:$H$14</definedName>
    <definedName name="PriceMod">Var_Holder!$U$3:$U$10</definedName>
    <definedName name="Prod_Available_Check">Var_Holder!$K$3:$L$14</definedName>
    <definedName name="Prod_Carried">Play_Area!$M$6:$M$17</definedName>
    <definedName name="Prod_Carried_Check">Var_Holder!$Q$3:$R$14</definedName>
    <definedName name="ProductList">Var_Holder!$D$3:$D$14</definedName>
    <definedName name="QuantityCarried">Var_Holder!$P$3:$P$14</definedName>
    <definedName name="Test">Test!$S$5:$S$16</definedName>
    <definedName name="Test_Range">Test!$P$5:$Q$16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3" l="1"/>
  <c r="R5" i="3"/>
  <c r="R13" i="3"/>
  <c r="R4" i="3"/>
  <c r="R8" i="3"/>
  <c r="R9" i="3"/>
  <c r="R10" i="3"/>
  <c r="R11" i="3"/>
  <c r="R12" i="3"/>
  <c r="R6" i="3"/>
  <c r="R14" i="3"/>
  <c r="R3" i="3"/>
  <c r="L7" i="3"/>
  <c r="L5" i="3"/>
  <c r="L13" i="3"/>
  <c r="L4" i="3"/>
  <c r="L8" i="3"/>
  <c r="L9" i="3"/>
  <c r="L10" i="3"/>
  <c r="L11" i="3"/>
  <c r="L12" i="3"/>
  <c r="L6" i="3"/>
  <c r="L14" i="3"/>
  <c r="L3" i="3"/>
  <c r="K7" i="3" l="1"/>
  <c r="K5" i="3"/>
  <c r="K13" i="3"/>
  <c r="K4" i="3"/>
  <c r="K8" i="3"/>
  <c r="K9" i="3"/>
  <c r="K10" i="3"/>
  <c r="K11" i="3"/>
  <c r="K12" i="3"/>
  <c r="K6" i="3"/>
  <c r="K14" i="3"/>
  <c r="K3" i="3"/>
  <c r="Q7" i="3"/>
  <c r="Q5" i="3"/>
  <c r="Q13" i="3"/>
  <c r="Q4" i="3"/>
  <c r="Q8" i="3"/>
  <c r="Q9" i="3"/>
  <c r="Q10" i="3"/>
  <c r="Q11" i="3"/>
  <c r="Q12" i="3"/>
  <c r="Q6" i="3"/>
  <c r="Q14" i="3"/>
  <c r="Q3" i="3"/>
  <c r="D27" i="6" l="1"/>
  <c r="C27" i="6"/>
  <c r="B27" i="6"/>
  <c r="D26" i="6"/>
  <c r="C26" i="6"/>
  <c r="B26" i="6"/>
  <c r="C25" i="6"/>
  <c r="D25" i="6" s="1"/>
  <c r="B25" i="6"/>
  <c r="C24" i="6"/>
  <c r="D24" i="6" s="1"/>
  <c r="B24" i="6"/>
  <c r="C23" i="6"/>
  <c r="D23" i="6" s="1"/>
  <c r="B23" i="6"/>
  <c r="D22" i="6"/>
  <c r="C22" i="6"/>
  <c r="B22" i="6"/>
  <c r="C21" i="6"/>
  <c r="D21" i="6" s="1"/>
  <c r="B21" i="6"/>
  <c r="C20" i="6"/>
  <c r="B20" i="6"/>
  <c r="D20" i="6" s="1"/>
  <c r="C19" i="6"/>
  <c r="D19" i="6" s="1"/>
  <c r="B19" i="6"/>
  <c r="D18" i="6"/>
  <c r="C18" i="6"/>
  <c r="B18" i="6"/>
  <c r="C17" i="6"/>
  <c r="D17" i="6" s="1"/>
  <c r="B17" i="6"/>
  <c r="C16" i="6"/>
  <c r="B16" i="6"/>
  <c r="D16" i="6" s="1"/>
  <c r="E13" i="6"/>
  <c r="D13" i="6"/>
  <c r="F13" i="6" s="1"/>
  <c r="F12" i="6"/>
  <c r="D12" i="6"/>
  <c r="E12" i="6" s="1"/>
  <c r="E11" i="6"/>
  <c r="D11" i="6"/>
  <c r="F11" i="6" s="1"/>
  <c r="D10" i="6"/>
  <c r="F10" i="6" s="1"/>
  <c r="E9" i="6"/>
  <c r="D9" i="6"/>
  <c r="F9" i="6" s="1"/>
  <c r="F8" i="6"/>
  <c r="D8" i="6"/>
  <c r="E8" i="6" s="1"/>
  <c r="E7" i="6"/>
  <c r="D7" i="6"/>
  <c r="F7" i="6" s="1"/>
  <c r="D6" i="6"/>
  <c r="F6" i="6" s="1"/>
  <c r="E5" i="6"/>
  <c r="D5" i="6"/>
  <c r="F5" i="6" s="1"/>
  <c r="F4" i="6"/>
  <c r="D4" i="6"/>
  <c r="E4" i="6" s="1"/>
  <c r="E3" i="6"/>
  <c r="D3" i="6"/>
  <c r="F3" i="6" s="1"/>
  <c r="D2" i="6"/>
  <c r="F2" i="6" s="1"/>
  <c r="F14" i="3"/>
  <c r="E14" i="3"/>
  <c r="F6" i="3"/>
  <c r="E6" i="3"/>
  <c r="F12" i="3"/>
  <c r="E12" i="3"/>
  <c r="F11" i="3"/>
  <c r="E11" i="3"/>
  <c r="F10" i="3"/>
  <c r="E10" i="3"/>
  <c r="F9" i="3"/>
  <c r="E9" i="3"/>
  <c r="F8" i="3"/>
  <c r="E8" i="3"/>
  <c r="F4" i="3"/>
  <c r="E4" i="3"/>
  <c r="F13" i="3"/>
  <c r="E13" i="3"/>
  <c r="F5" i="3"/>
  <c r="E5" i="3"/>
  <c r="F7" i="3"/>
  <c r="E7" i="3"/>
  <c r="F3" i="3"/>
  <c r="E3" i="3"/>
  <c r="I2" i="2"/>
  <c r="H10" i="2" s="1"/>
  <c r="C28" i="5"/>
  <c r="C27" i="5"/>
  <c r="C26" i="5"/>
  <c r="C25" i="5"/>
  <c r="S12" i="5"/>
  <c r="S11" i="5"/>
  <c r="S10" i="5"/>
  <c r="C2" i="2"/>
  <c r="N18" i="5"/>
  <c r="N21" i="5"/>
  <c r="E15" i="5"/>
  <c r="O16" i="5"/>
  <c r="E7" i="5"/>
  <c r="O10" i="5"/>
  <c r="O11" i="5"/>
  <c r="N7" i="5"/>
  <c r="O6" i="5"/>
  <c r="E21" i="5"/>
  <c r="E12" i="5"/>
  <c r="O12" i="5"/>
  <c r="O13" i="5"/>
  <c r="E9" i="5"/>
  <c r="N9" i="5"/>
  <c r="E18" i="5"/>
  <c r="O18" i="5"/>
  <c r="O19" i="5"/>
  <c r="N12" i="5"/>
  <c r="N15" i="5"/>
  <c r="E14" i="5"/>
  <c r="O8" i="5"/>
  <c r="E17" i="5"/>
  <c r="O20" i="5"/>
  <c r="O21" i="5"/>
  <c r="E20" i="5"/>
  <c r="O9" i="5"/>
  <c r="N8" i="5"/>
  <c r="N11" i="5"/>
  <c r="E11" i="5"/>
  <c r="N20" i="5"/>
  <c r="O7" i="5"/>
  <c r="E8" i="5"/>
  <c r="N17" i="5"/>
  <c r="E6" i="5"/>
  <c r="N10" i="5"/>
  <c r="N13" i="5"/>
  <c r="E10" i="5"/>
  <c r="N14" i="5"/>
  <c r="O17" i="5"/>
  <c r="N16" i="5"/>
  <c r="N19" i="5"/>
  <c r="E16" i="5"/>
  <c r="O14" i="5"/>
  <c r="O15" i="5"/>
  <c r="E13" i="5"/>
  <c r="N6" i="5"/>
  <c r="E19" i="5"/>
  <c r="G3" i="3" l="1"/>
  <c r="E2" i="6"/>
  <c r="E6" i="6"/>
  <c r="E10" i="6"/>
  <c r="G12" i="3"/>
  <c r="G14" i="3"/>
  <c r="G5" i="3"/>
  <c r="G4" i="3"/>
  <c r="G11" i="3"/>
  <c r="G9" i="3"/>
  <c r="G7" i="3"/>
  <c r="G13" i="3"/>
  <c r="G6" i="3"/>
  <c r="G8" i="3"/>
  <c r="G10" i="3"/>
</calcChain>
</file>

<file path=xl/sharedStrings.xml><?xml version="1.0" encoding="utf-8"?>
<sst xmlns="http://schemas.openxmlformats.org/spreadsheetml/2006/main" count="146" uniqueCount="66">
  <si>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</si>
  <si>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</si>
  <si>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</si>
  <si>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</si>
  <si>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</si>
  <si>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</si>
  <si>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</si>
  <si>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</si>
  <si>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</si>
  <si>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</si>
  <si>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</si>
  <si>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</si>
  <si>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</si>
  <si>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</si>
  <si>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</si>
  <si>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</si>
  <si>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</si>
  <si>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</si>
  <si>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</si>
  <si>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</si>
  <si>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</si>
  <si>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</si>
  <si>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</si>
  <si>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</si>
  <si>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</si>
  <si>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</si>
  <si>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</si>
  <si>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</si>
  <si>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</si>
  <si>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</si>
  <si>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</si>
  <si>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Weed   </t>
  </si>
  <si>
    <t>Speed   </t>
  </si>
  <si>
    <t>Shrooms   </t>
  </si>
  <si>
    <t>Peyote   </t>
  </si>
  <si>
    <t>PCP   </t>
  </si>
  <si>
    <t>Opium   </t>
  </si>
  <si>
    <t>MDA   </t>
  </si>
  <si>
    <t>Ludes   </t>
  </si>
  <si>
    <t>Heroin   </t>
  </si>
  <si>
    <t>Hashish   </t>
  </si>
  <si>
    <t>Cocaine   </t>
  </si>
  <si>
    <t>Acid   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</si>
  <si>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</si>
  <si>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</si>
  <si>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</si>
  <si>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</si>
  <si>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</si>
  <si>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</si>
  <si>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</si>
  <si>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</si>
  <si>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</si>
  <si>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</si>
  <si>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</si>
  <si>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</si>
  <si>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</si>
  <si>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</si>
  <si>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</si>
  <si>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</si>
  <si>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</si>
  <si>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Carried Variables</t>
  </si>
  <si>
    <t>Product Variables</t>
  </si>
  <si>
    <t>For Sale?</t>
  </si>
  <si>
    <t>Carried?</t>
  </si>
  <si>
    <t>AvailProd</t>
  </si>
  <si>
    <t>Not Enough Money to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</si>
</sst>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3" formatCode="_(* #,##0.00_);_(* \(#,##0.00\);_(* &quot;-&quot;??_);_(@_)"/>
    <numFmt numFmtId="164" formatCode="0;\-0;;@\ "/>
    <numFmt numFmtId="165" formatCode="&quot;$&quot;#,##0"/>
    <numFmt numFmtId="166" formatCode="&quot;$&quot;0.00;\-0;;@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18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0" fillId="0" borderId="0" xfId="0" applyAlignment="1">
      <alignment horizontal="center" vertical="center"/>
    </xf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165" fontId="4" fillId="2" borderId="7" xfId="1" applyNumberFormat="1" applyFont="1" applyFill="1" applyBorder="1" applyAlignment="1">
      <alignment horizontal="center" vertical="top"/>
    </xf>
    <xf numFmtId="0" fontId="5" fillId="2" borderId="6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2" borderId="12" xfId="0" applyFont="1" applyFill="1" applyBorder="1" applyAlignment="1">
      <alignment horizontal="left"/>
    </xf>
    <xf numFmtId="0" fontId="4" fillId="2" borderId="12" xfId="0" applyFont="1" applyFill="1" applyBorder="1"/>
    <xf numFmtId="164" fontId="4" fillId="2" borderId="12" xfId="0" applyNumberFormat="1" applyFont="1" applyFill="1" applyBorder="1" applyAlignment="1">
      <alignment horizontal="center"/>
    </xf>
    <xf numFmtId="166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6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3" xfId="0" applyNumberFormat="1" applyFont="1" applyFill="1" applyBorder="1" applyAlignment="1">
      <alignment horizontal="left"/>
    </xf>
    <xf numFmtId="164" fontId="5" fillId="2" borderId="4" xfId="0" applyNumberFormat="1" applyFont="1" applyFill="1" applyBorder="1" applyAlignment="1">
      <alignment horizontal="left"/>
    </xf>
    <xf numFmtId="164" fontId="5" fillId="2" borderId="5" xfId="0" applyNumberFormat="1" applyFont="1" applyFill="1" applyBorder="1" applyAlignment="1">
      <alignment horizontal="left"/>
    </xf>
    <xf numFmtId="0" fontId="6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0" fontId="4" fillId="2" borderId="13" xfId="0" applyFont="1" applyFill="1" applyBorder="1"/>
    <xf numFmtId="0" fontId="3" fillId="2" borderId="0" xfId="0" applyFont="1" applyFill="1" applyBorder="1"/>
    <xf numFmtId="0" fontId="6" fillId="2" borderId="0" xfId="0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</a:rPr>
            <a:t>Location</a:t>
          </a:r>
        </a:p>
      </xdr:txBody>
    </xdr:sp>
    <xdr:clientData fLocksWithSheet="0"/>
  </xdr:twoCellAnchor>
  <xdr:twoCellAnchor>
    <xdr:from>
      <xdr:col>7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105150" y="4086225"/>
          <a:ext cx="302895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Execute Transaction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xmlns="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xmlns="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30"/>
  <sheetViews>
    <sheetView tabSelected="1" workbookViewId="0">
      <selection activeCell="L14" sqref="L14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6.7109375" style="59" customWidth="1"/>
    <col min="7" max="7" width="2.85546875" style="2" customWidth="1"/>
    <col min="8" max="10" width="15.140625" style="2" customWidth="1"/>
    <col min="11" max="11" width="2.85546875" style="2" customWidth="1"/>
    <col min="12" max="12" width="6.7109375" style="59" customWidth="1"/>
    <col min="13" max="13" width="17.7109375" style="2" customWidth="1"/>
    <col min="14" max="15" width="12.85546875" style="2" bestFit="1" customWidth="1"/>
    <col min="16" max="17" width="2.85546875" style="2" customWidth="1"/>
    <col min="18" max="18" width="23.5703125" style="2" bestFit="1" customWidth="1"/>
    <col min="19" max="19" width="24.85546875" style="2" bestFit="1" customWidth="1"/>
    <col min="20" max="21" width="2.85546875" style="2" customWidth="1"/>
    <col min="22" max="52" width="0" style="2" hidden="1" customWidth="1"/>
    <col min="53" max="56" width="0" style="2" hidden="1"/>
    <col min="57" max="16384" width="2.85546875" style="2" hidden="1"/>
  </cols>
  <sheetData>
    <row r="1" spans="1:21" x14ac:dyDescent="0.25">
      <c r="A1" s="1"/>
      <c r="B1" s="1"/>
      <c r="C1" s="1"/>
      <c r="D1" s="1"/>
      <c r="E1" s="1"/>
      <c r="F1" s="55"/>
      <c r="G1" s="1"/>
      <c r="H1" s="1"/>
      <c r="I1" s="1"/>
      <c r="J1" s="1"/>
      <c r="K1" s="1"/>
      <c r="L1" s="55"/>
      <c r="M1" s="1"/>
      <c r="N1" s="1"/>
      <c r="O1" s="1"/>
      <c r="P1" s="1"/>
      <c r="Q1" s="1"/>
      <c r="R1" s="1"/>
      <c r="S1" s="1"/>
      <c r="T1" s="1"/>
      <c r="U1" s="1"/>
    </row>
    <row r="2" spans="1:21" ht="15.75" thickBot="1" x14ac:dyDescent="0.3">
      <c r="A2" s="1"/>
      <c r="B2" s="3"/>
      <c r="C2" s="3"/>
      <c r="D2" s="3"/>
      <c r="E2" s="3"/>
      <c r="F2" s="56"/>
      <c r="G2" s="3"/>
      <c r="H2" s="3"/>
      <c r="I2" s="3"/>
      <c r="J2" s="3"/>
      <c r="K2" s="3"/>
      <c r="L2" s="56"/>
      <c r="M2" s="3"/>
      <c r="N2" s="3"/>
      <c r="O2" s="3"/>
      <c r="P2" s="3"/>
      <c r="Q2" s="3"/>
      <c r="R2" s="3"/>
      <c r="S2" s="3"/>
      <c r="T2" s="3"/>
      <c r="U2" s="1"/>
    </row>
    <row r="3" spans="1:21" ht="15.75" thickTop="1" x14ac:dyDescent="0.25">
      <c r="A3" s="1"/>
      <c r="B3" s="3"/>
      <c r="C3" s="6"/>
      <c r="D3" s="7"/>
      <c r="E3" s="7"/>
      <c r="F3" s="57"/>
      <c r="G3" s="7"/>
      <c r="H3" s="7"/>
      <c r="I3" s="7"/>
      <c r="J3" s="7"/>
      <c r="K3" s="7"/>
      <c r="L3" s="57"/>
      <c r="M3" s="7"/>
      <c r="N3" s="7"/>
      <c r="O3" s="7"/>
      <c r="P3" s="8"/>
      <c r="Q3" s="3"/>
      <c r="R3" s="28" t="s">
        <v>28</v>
      </c>
      <c r="S3" s="28" t="s">
        <v>3</v>
      </c>
      <c r="T3" s="3"/>
      <c r="U3" s="1"/>
    </row>
    <row r="4" spans="1:21" ht="15.75" x14ac:dyDescent="0.3">
      <c r="A4" s="1"/>
      <c r="B4" s="3"/>
      <c r="C4" s="9"/>
      <c r="D4" s="32" t="s">
        <v>48</v>
      </c>
      <c r="E4" s="33"/>
      <c r="F4" s="45"/>
      <c r="G4" s="5"/>
      <c r="H4" s="50"/>
      <c r="I4" s="50"/>
      <c r="J4" s="50"/>
      <c r="K4" s="5"/>
      <c r="L4" s="45"/>
      <c r="M4" s="32" t="s">
        <v>56</v>
      </c>
      <c r="N4" s="46"/>
      <c r="O4" s="33"/>
      <c r="P4" s="10"/>
      <c r="Q4" s="3"/>
      <c r="R4" s="28" t="s">
        <v>2</v>
      </c>
      <c r="S4" s="28" t="s">
        <v>7</v>
      </c>
      <c r="T4" s="3"/>
      <c r="U4" s="1"/>
    </row>
    <row r="5" spans="1:21" ht="15.75" x14ac:dyDescent="0.3">
      <c r="A5" s="1"/>
      <c r="B5" s="3"/>
      <c r="C5" s="9"/>
      <c r="D5" s="47" t="s">
        <v>49</v>
      </c>
      <c r="E5" s="48" t="s">
        <v>29</v>
      </c>
      <c r="F5" s="45"/>
      <c r="G5" s="5"/>
      <c r="H5" s="51"/>
      <c r="I5" s="51"/>
      <c r="J5" s="51"/>
      <c r="K5" s="5"/>
      <c r="L5" s="45"/>
      <c r="M5" s="47" t="s">
        <v>49</v>
      </c>
      <c r="N5" s="48" t="s">
        <v>57</v>
      </c>
      <c r="O5" s="48" t="s">
        <v>58</v>
      </c>
      <c r="P5" s="10"/>
      <c r="Q5" s="3"/>
      <c r="R5" s="28" t="s">
        <v>1</v>
      </c>
      <c r="S5" s="28" t="s">
        <v>4</v>
      </c>
      <c r="T5" s="3"/>
      <c r="U5" s="1"/>
    </row>
    <row r="6" spans="1:21" x14ac:dyDescent="0.25">
      <c r="A6" s="1"/>
      <c r="B6" s="3"/>
      <c r="C6" s="9"/>
      <c r="D6" s="24" t="s">
        <v>8</v>
      </c>
      <c r="E6" s="27">
        <f t="shared" ref="E6:E17" si="0">IFERROR(PriceCalc(D6),)</f>
        <v>2</v>
      </c>
      <c r="F6" s="45"/>
      <c r="G6" s="5"/>
      <c r="H6" s="52"/>
      <c r="I6" s="52"/>
      <c r="J6" s="52"/>
      <c r="K6" s="5"/>
      <c r="L6" s="45"/>
      <c r="M6" s="24" t="s">
        <v>24</v>
      </c>
      <c r="N6" s="27">
        <f>IFERROR(AvgPurchasePrice(M6),)</f>
        <v>27.96</v>
      </c>
      <c r="O6" s="26">
        <f>IFERROR(CarriedQuantity(M6),)</f>
        <v>25</v>
      </c>
      <c r="P6" s="10"/>
      <c r="Q6" s="3"/>
      <c r="R6" s="28" t="s">
        <v>6</v>
      </c>
      <c r="S6" s="28" t="s">
        <v>5</v>
      </c>
      <c r="T6" s="3"/>
      <c r="U6" s="1"/>
    </row>
    <row r="7" spans="1:21" x14ac:dyDescent="0.25">
      <c r="A7" s="1"/>
      <c r="B7" s="3"/>
      <c r="C7" s="9"/>
      <c r="D7" s="24" t="s">
        <v>9</v>
      </c>
      <c r="E7" s="27">
        <f t="shared" si="0"/>
        <v>22.03</v>
      </c>
      <c r="F7" s="45"/>
      <c r="G7" s="5"/>
      <c r="H7" s="52"/>
      <c r="I7" s="52"/>
      <c r="J7" s="52"/>
      <c r="K7" s="5"/>
      <c r="L7" s="45"/>
      <c r="M7" s="24" t="s">
        <v>8</v>
      </c>
      <c r="N7" s="27">
        <f t="shared" ref="N7:N21" si="1">IFERROR(AvgPurchasePrice(M7),)</f>
        <v>2</v>
      </c>
      <c r="O7" s="26">
        <f t="shared" ref="O7:O21" si="2">IFERROR(CarriedQuantity(M7),)</f>
        <v>47</v>
      </c>
      <c r="P7" s="10"/>
      <c r="Q7" s="3"/>
      <c r="R7" s="15"/>
      <c r="S7" s="15"/>
      <c r="T7" s="3"/>
      <c r="U7" s="1"/>
    </row>
    <row r="8" spans="1:21" ht="15.75" thickBot="1" x14ac:dyDescent="0.3">
      <c r="A8" s="1"/>
      <c r="B8" s="3"/>
      <c r="C8" s="9"/>
      <c r="D8" s="24" t="s">
        <v>13</v>
      </c>
      <c r="E8" s="27">
        <f t="shared" si="0"/>
        <v>30.26</v>
      </c>
      <c r="F8" s="45"/>
      <c r="G8" s="5"/>
      <c r="H8" s="52"/>
      <c r="I8" s="52"/>
      <c r="J8" s="52"/>
      <c r="K8" s="5"/>
      <c r="L8" s="45"/>
      <c r="M8" s="24" t="s">
        <v>9</v>
      </c>
      <c r="N8" s="27">
        <f t="shared" si="1"/>
        <v>150</v>
      </c>
      <c r="O8" s="26">
        <f t="shared" si="2"/>
        <v>5</v>
      </c>
      <c r="P8" s="10"/>
      <c r="Q8" s="3"/>
      <c r="R8" s="3"/>
      <c r="S8" s="3"/>
      <c r="T8" s="3"/>
      <c r="U8" s="1"/>
    </row>
    <row r="9" spans="1:21" ht="15.75" thickTop="1" x14ac:dyDescent="0.25">
      <c r="A9" s="1"/>
      <c r="B9" s="3"/>
      <c r="C9" s="9"/>
      <c r="D9" s="24" t="s">
        <v>15</v>
      </c>
      <c r="E9" s="27">
        <f t="shared" si="0"/>
        <v>9.27</v>
      </c>
      <c r="F9" s="45"/>
      <c r="G9" s="5"/>
      <c r="H9" s="52"/>
      <c r="I9" s="52"/>
      <c r="J9" s="52"/>
      <c r="K9" s="5"/>
      <c r="L9" s="45"/>
      <c r="M9" s="24" t="s">
        <v>18</v>
      </c>
      <c r="N9" s="27">
        <f t="shared" si="1"/>
        <v>23.402094852103996</v>
      </c>
      <c r="O9" s="26">
        <f t="shared" si="2"/>
        <v>42</v>
      </c>
      <c r="P9" s="10"/>
      <c r="Q9" s="3"/>
      <c r="R9" s="6"/>
      <c r="S9" s="8"/>
      <c r="T9" s="3"/>
      <c r="U9" s="1"/>
    </row>
    <row r="10" spans="1:21" ht="15.75" x14ac:dyDescent="0.3">
      <c r="A10" s="1"/>
      <c r="B10" s="3"/>
      <c r="C10" s="9"/>
      <c r="D10" s="24" t="s">
        <v>16</v>
      </c>
      <c r="E10" s="27">
        <f t="shared" si="0"/>
        <v>5.27</v>
      </c>
      <c r="F10" s="45"/>
      <c r="G10" s="5"/>
      <c r="H10" s="52"/>
      <c r="I10" s="52"/>
      <c r="J10" s="52"/>
      <c r="K10" s="5"/>
      <c r="L10" s="45"/>
      <c r="M10" s="24" t="s">
        <v>16</v>
      </c>
      <c r="N10" s="27">
        <f t="shared" si="1"/>
        <v>5.27</v>
      </c>
      <c r="O10" s="26">
        <f t="shared" si="2"/>
        <v>33</v>
      </c>
      <c r="P10" s="10"/>
      <c r="Q10" s="3"/>
      <c r="R10" s="21" t="s">
        <v>50</v>
      </c>
      <c r="S10" s="19">
        <f>DayProgress</f>
        <v>13</v>
      </c>
      <c r="T10" s="3"/>
      <c r="U10" s="1"/>
    </row>
    <row r="11" spans="1:21" ht="15.75" x14ac:dyDescent="0.3">
      <c r="A11" s="1"/>
      <c r="B11" s="3"/>
      <c r="C11" s="9"/>
      <c r="D11" s="24"/>
      <c r="E11" s="27">
        <f t="shared" si="0"/>
        <v>0</v>
      </c>
      <c r="F11" s="45"/>
      <c r="G11" s="5"/>
      <c r="H11" s="52"/>
      <c r="I11" s="52"/>
      <c r="J11" s="52"/>
      <c r="K11" s="5"/>
      <c r="L11" s="45"/>
      <c r="M11" s="24" t="s">
        <v>10</v>
      </c>
      <c r="N11" s="27">
        <f t="shared" si="1"/>
        <v>92.84</v>
      </c>
      <c r="O11" s="26">
        <f t="shared" si="2"/>
        <v>5</v>
      </c>
      <c r="P11" s="10"/>
      <c r="Q11" s="3"/>
      <c r="R11" s="21" t="s">
        <v>26</v>
      </c>
      <c r="S11" s="19" t="str">
        <f>Location</f>
        <v>Central Park</v>
      </c>
      <c r="T11" s="3"/>
      <c r="U11" s="1"/>
    </row>
    <row r="12" spans="1:21" ht="15.75" x14ac:dyDescent="0.3">
      <c r="A12" s="1"/>
      <c r="B12" s="3"/>
      <c r="C12" s="9"/>
      <c r="D12" s="24"/>
      <c r="E12" s="27">
        <f t="shared" si="0"/>
        <v>0</v>
      </c>
      <c r="F12" s="45"/>
      <c r="G12" s="5"/>
      <c r="H12" s="52"/>
      <c r="I12" s="52"/>
      <c r="J12" s="52"/>
      <c r="K12" s="5"/>
      <c r="L12" s="45"/>
      <c r="M12" s="24" t="s">
        <v>11</v>
      </c>
      <c r="N12" s="27">
        <f t="shared" si="1"/>
        <v>4.1547741979229187</v>
      </c>
      <c r="O12" s="26">
        <f t="shared" si="2"/>
        <v>5</v>
      </c>
      <c r="P12" s="10"/>
      <c r="Q12" s="3"/>
      <c r="R12" s="21" t="s">
        <v>25</v>
      </c>
      <c r="S12" s="20">
        <f>MoneyOnHandVariable</f>
        <v>202.5</v>
      </c>
      <c r="T12" s="3"/>
      <c r="U12" s="1"/>
    </row>
    <row r="13" spans="1:21" x14ac:dyDescent="0.25">
      <c r="A13" s="1"/>
      <c r="B13" s="3"/>
      <c r="C13" s="9"/>
      <c r="D13" s="24"/>
      <c r="E13" s="27">
        <f t="shared" si="0"/>
        <v>0</v>
      </c>
      <c r="F13" s="45"/>
      <c r="G13" s="5"/>
      <c r="H13" s="52"/>
      <c r="I13" s="52"/>
      <c r="J13" s="52"/>
      <c r="K13" s="5"/>
      <c r="L13" s="45"/>
      <c r="M13" s="24"/>
      <c r="N13" s="27">
        <f t="shared" si="1"/>
        <v>0</v>
      </c>
      <c r="O13" s="26">
        <f t="shared" si="2"/>
        <v>0</v>
      </c>
      <c r="P13" s="10"/>
      <c r="Q13" s="3"/>
      <c r="R13" s="9"/>
      <c r="S13" s="10"/>
      <c r="T13" s="3"/>
      <c r="U13" s="1"/>
    </row>
    <row r="14" spans="1:21" x14ac:dyDescent="0.25">
      <c r="A14" s="1"/>
      <c r="B14" s="3"/>
      <c r="C14" s="9"/>
      <c r="D14" s="24"/>
      <c r="E14" s="27">
        <f t="shared" si="0"/>
        <v>0</v>
      </c>
      <c r="F14" s="45"/>
      <c r="G14" s="5"/>
      <c r="H14" s="52"/>
      <c r="I14" s="52"/>
      <c r="J14" s="52"/>
      <c r="K14" s="5"/>
      <c r="L14" s="45"/>
      <c r="M14" s="24"/>
      <c r="N14" s="27">
        <f t="shared" si="1"/>
        <v>0</v>
      </c>
      <c r="O14" s="26">
        <f t="shared" si="2"/>
        <v>0</v>
      </c>
      <c r="P14" s="10"/>
      <c r="Q14" s="3"/>
      <c r="R14" s="9"/>
      <c r="S14" s="10"/>
      <c r="T14" s="3"/>
      <c r="U14" s="1"/>
    </row>
    <row r="15" spans="1:21" x14ac:dyDescent="0.25">
      <c r="A15" s="1"/>
      <c r="B15" s="3"/>
      <c r="C15" s="9"/>
      <c r="D15" s="24"/>
      <c r="E15" s="27">
        <f t="shared" si="0"/>
        <v>0</v>
      </c>
      <c r="F15" s="45"/>
      <c r="G15" s="5"/>
      <c r="H15" s="52"/>
      <c r="I15" s="52"/>
      <c r="J15" s="52"/>
      <c r="K15" s="5"/>
      <c r="L15" s="45"/>
      <c r="M15" s="24"/>
      <c r="N15" s="27">
        <f t="shared" si="1"/>
        <v>0</v>
      </c>
      <c r="O15" s="26">
        <f t="shared" si="2"/>
        <v>0</v>
      </c>
      <c r="P15" s="10"/>
      <c r="Q15" s="3"/>
      <c r="R15" s="9"/>
      <c r="S15" s="10"/>
      <c r="T15" s="3"/>
      <c r="U15" s="1"/>
    </row>
    <row r="16" spans="1:21" x14ac:dyDescent="0.25">
      <c r="A16" s="1"/>
      <c r="B16" s="3"/>
      <c r="C16" s="9"/>
      <c r="D16" s="24"/>
      <c r="E16" s="27">
        <f t="shared" si="0"/>
        <v>0</v>
      </c>
      <c r="F16" s="45"/>
      <c r="G16" s="5"/>
      <c r="H16" s="52"/>
      <c r="I16" s="52"/>
      <c r="J16" s="52"/>
      <c r="K16" s="5"/>
      <c r="L16" s="45"/>
      <c r="M16" s="24"/>
      <c r="N16" s="27">
        <f t="shared" si="1"/>
        <v>0</v>
      </c>
      <c r="O16" s="26">
        <f t="shared" si="2"/>
        <v>0</v>
      </c>
      <c r="P16" s="10"/>
      <c r="Q16" s="3"/>
      <c r="R16" s="9"/>
      <c r="S16" s="10"/>
      <c r="T16" s="3"/>
      <c r="U16" s="1"/>
    </row>
    <row r="17" spans="1:21" x14ac:dyDescent="0.25">
      <c r="A17" s="1"/>
      <c r="B17" s="3"/>
      <c r="C17" s="9"/>
      <c r="D17" s="29"/>
      <c r="E17" s="30">
        <f t="shared" si="0"/>
        <v>0</v>
      </c>
      <c r="F17" s="45"/>
      <c r="G17" s="5"/>
      <c r="H17" s="52"/>
      <c r="I17" s="52"/>
      <c r="J17" s="52"/>
      <c r="K17" s="5"/>
      <c r="L17" s="45"/>
      <c r="M17" s="29"/>
      <c r="N17" s="30">
        <f t="shared" si="1"/>
        <v>0</v>
      </c>
      <c r="O17" s="31">
        <f t="shared" si="2"/>
        <v>0</v>
      </c>
      <c r="P17" s="10"/>
      <c r="Q17" s="3"/>
      <c r="R17" s="9"/>
      <c r="S17" s="10"/>
      <c r="T17" s="3"/>
      <c r="U17" s="1"/>
    </row>
    <row r="18" spans="1:21" x14ac:dyDescent="0.25">
      <c r="A18" s="1"/>
      <c r="B18" s="3"/>
      <c r="C18" s="9"/>
      <c r="D18" s="25"/>
      <c r="E18" s="27">
        <f>IFERROR(PriceCalc(D18),)</f>
        <v>0</v>
      </c>
      <c r="F18" s="45"/>
      <c r="G18" s="5"/>
      <c r="H18" s="52"/>
      <c r="I18" s="52"/>
      <c r="J18" s="52"/>
      <c r="K18" s="5"/>
      <c r="L18" s="45"/>
      <c r="M18" s="25"/>
      <c r="N18" s="27">
        <f t="shared" si="1"/>
        <v>0</v>
      </c>
      <c r="O18" s="26">
        <f t="shared" si="2"/>
        <v>0</v>
      </c>
      <c r="P18" s="10"/>
      <c r="Q18" s="3"/>
      <c r="R18" s="9"/>
      <c r="S18" s="10"/>
      <c r="T18" s="3"/>
      <c r="U18" s="1"/>
    </row>
    <row r="19" spans="1:21" x14ac:dyDescent="0.25">
      <c r="A19" s="1"/>
      <c r="B19" s="3"/>
      <c r="C19" s="9"/>
      <c r="D19" s="25"/>
      <c r="E19" s="27">
        <f t="shared" ref="E19:E21" si="3">IFERROR(PriceCalc(D19),)</f>
        <v>0</v>
      </c>
      <c r="F19" s="45"/>
      <c r="G19" s="5"/>
      <c r="H19" s="52"/>
      <c r="I19" s="52"/>
      <c r="J19" s="52"/>
      <c r="K19" s="5"/>
      <c r="L19" s="45"/>
      <c r="M19" s="25"/>
      <c r="N19" s="27">
        <f t="shared" si="1"/>
        <v>0</v>
      </c>
      <c r="O19" s="26">
        <f t="shared" si="2"/>
        <v>0</v>
      </c>
      <c r="P19" s="10"/>
      <c r="Q19" s="3"/>
      <c r="R19" s="9"/>
      <c r="S19" s="10"/>
      <c r="T19" s="3"/>
      <c r="U19" s="1"/>
    </row>
    <row r="20" spans="1:21" x14ac:dyDescent="0.25">
      <c r="A20" s="1"/>
      <c r="B20" s="3"/>
      <c r="C20" s="9"/>
      <c r="D20" s="25"/>
      <c r="E20" s="27">
        <f t="shared" si="3"/>
        <v>0</v>
      </c>
      <c r="F20" s="45"/>
      <c r="G20" s="5"/>
      <c r="H20" s="52"/>
      <c r="I20" s="52"/>
      <c r="J20" s="52"/>
      <c r="K20" s="5"/>
      <c r="L20" s="45"/>
      <c r="M20" s="25"/>
      <c r="N20" s="27">
        <f t="shared" si="1"/>
        <v>0</v>
      </c>
      <c r="O20" s="26">
        <f t="shared" si="2"/>
        <v>0</v>
      </c>
      <c r="P20" s="10"/>
      <c r="Q20" s="3"/>
      <c r="R20" s="9"/>
      <c r="S20" s="10"/>
      <c r="T20" s="3"/>
      <c r="U20" s="1"/>
    </row>
    <row r="21" spans="1:21" x14ac:dyDescent="0.25">
      <c r="A21" s="1"/>
      <c r="B21" s="3"/>
      <c r="C21" s="9"/>
      <c r="D21" s="49"/>
      <c r="E21" s="30">
        <f t="shared" si="3"/>
        <v>0</v>
      </c>
      <c r="F21" s="45"/>
      <c r="G21" s="5"/>
      <c r="H21" s="52"/>
      <c r="I21" s="52"/>
      <c r="J21" s="52"/>
      <c r="K21" s="5"/>
      <c r="L21" s="45"/>
      <c r="M21" s="49"/>
      <c r="N21" s="30">
        <f t="shared" si="1"/>
        <v>0</v>
      </c>
      <c r="O21" s="31">
        <f t="shared" si="2"/>
        <v>0</v>
      </c>
      <c r="P21" s="10"/>
      <c r="Q21" s="3"/>
      <c r="R21" s="9"/>
      <c r="S21" s="10"/>
      <c r="T21" s="3"/>
      <c r="U21" s="1"/>
    </row>
    <row r="22" spans="1:21" ht="15.75" x14ac:dyDescent="0.3">
      <c r="A22" s="1"/>
      <c r="B22" s="3"/>
      <c r="C22" s="9"/>
      <c r="D22" s="43"/>
      <c r="E22" s="43"/>
      <c r="F22" s="45"/>
      <c r="G22" s="5"/>
      <c r="H22" s="5"/>
      <c r="I22" s="5"/>
      <c r="J22" s="5"/>
      <c r="K22" s="5"/>
      <c r="L22" s="45"/>
      <c r="M22" s="53"/>
      <c r="N22" s="53"/>
      <c r="O22" s="54"/>
      <c r="P22" s="10"/>
      <c r="Q22" s="3"/>
      <c r="R22" s="9"/>
      <c r="S22" s="10"/>
      <c r="T22" s="3"/>
      <c r="U22" s="1"/>
    </row>
    <row r="23" spans="1:21" ht="15.75" thickBot="1" x14ac:dyDescent="0.3">
      <c r="A23" s="1"/>
      <c r="B23" s="3"/>
      <c r="C23" s="9"/>
      <c r="D23" s="5"/>
      <c r="E23" s="5"/>
      <c r="F23" s="45"/>
      <c r="G23" s="5"/>
      <c r="H23" s="5"/>
      <c r="I23" s="5"/>
      <c r="J23" s="5"/>
      <c r="K23" s="5"/>
      <c r="L23" s="45"/>
      <c r="M23" s="5"/>
      <c r="N23" s="5"/>
      <c r="O23" s="5"/>
      <c r="P23" s="10"/>
      <c r="Q23" s="3"/>
      <c r="R23" s="9"/>
      <c r="S23" s="10"/>
      <c r="T23" s="3"/>
      <c r="U23" s="1"/>
    </row>
    <row r="24" spans="1:21" ht="16.5" thickTop="1" thickBot="1" x14ac:dyDescent="0.3">
      <c r="A24" s="1"/>
      <c r="B24" s="3"/>
      <c r="C24" s="18"/>
      <c r="D24" s="18"/>
      <c r="E24" s="18"/>
      <c r="F24" s="58"/>
      <c r="G24" s="18"/>
      <c r="H24" s="18"/>
      <c r="I24" s="18"/>
      <c r="J24" s="18"/>
      <c r="K24" s="18"/>
      <c r="L24" s="58"/>
      <c r="M24" s="18"/>
      <c r="N24" s="18"/>
      <c r="O24" s="18"/>
      <c r="P24" s="18"/>
      <c r="Q24" s="3"/>
      <c r="R24" s="9"/>
      <c r="S24" s="10"/>
      <c r="T24" s="3"/>
      <c r="U24" s="1"/>
    </row>
    <row r="25" spans="1:21" ht="16.5" thickTop="1" x14ac:dyDescent="0.3">
      <c r="A25" s="1"/>
      <c r="B25" s="3"/>
      <c r="C25" s="40" t="str">
        <f>"&gt; "&amp;Message</f>
        <v>&gt; Not Enough Money to Purchase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2"/>
      <c r="Q25" s="3"/>
      <c r="R25" s="9"/>
      <c r="S25" s="10"/>
      <c r="T25" s="3"/>
      <c r="U25" s="1"/>
    </row>
    <row r="26" spans="1:21" x14ac:dyDescent="0.25">
      <c r="A26" s="1"/>
      <c r="B26" s="3"/>
      <c r="C26" s="37" t="str">
        <f>Message1</f>
        <v>Not Enough Money to Purchase</v>
      </c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9"/>
      <c r="Q26" s="3"/>
      <c r="R26" s="9"/>
      <c r="S26" s="10"/>
      <c r="T26" s="3"/>
      <c r="U26" s="1"/>
    </row>
    <row r="27" spans="1:21" x14ac:dyDescent="0.25">
      <c r="A27" s="1"/>
      <c r="B27" s="3"/>
      <c r="C27" s="37" t="str">
        <f>Message2</f>
        <v>Not Enough Money to Purchase</v>
      </c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9"/>
      <c r="Q27" s="3"/>
      <c r="R27" s="9"/>
      <c r="S27" s="10"/>
      <c r="T27" s="3"/>
      <c r="U27" s="1"/>
    </row>
    <row r="28" spans="1:21" ht="15.75" thickBot="1" x14ac:dyDescent="0.3">
      <c r="A28" s="1"/>
      <c r="B28" s="3"/>
      <c r="C28" s="34" t="str">
        <f>Message3</f>
        <v>Not Enough Money to Purchase</v>
      </c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6"/>
      <c r="Q28" s="3"/>
      <c r="R28" s="11"/>
      <c r="S28" s="12"/>
      <c r="T28" s="3"/>
      <c r="U28" s="1"/>
    </row>
    <row r="29" spans="1:21" ht="15.75" thickTop="1" x14ac:dyDescent="0.25">
      <c r="A29" s="1"/>
      <c r="B29" s="3"/>
      <c r="C29" s="3"/>
      <c r="D29" s="3"/>
      <c r="E29" s="3"/>
      <c r="F29" s="56"/>
      <c r="G29" s="3"/>
      <c r="H29" s="3"/>
      <c r="I29" s="3"/>
      <c r="J29" s="3"/>
      <c r="K29" s="3"/>
      <c r="L29" s="56"/>
      <c r="M29" s="3"/>
      <c r="N29" s="3"/>
      <c r="O29" s="3"/>
      <c r="P29" s="3"/>
      <c r="Q29" s="3"/>
      <c r="R29" s="3"/>
      <c r="S29" s="3"/>
      <c r="T29" s="3"/>
      <c r="U29" s="1"/>
    </row>
    <row r="30" spans="1:21" x14ac:dyDescent="0.25">
      <c r="A30" s="1"/>
      <c r="B30" s="1"/>
      <c r="C30" s="1"/>
      <c r="D30" s="1"/>
      <c r="E30" s="1"/>
      <c r="F30" s="55"/>
      <c r="G30" s="1"/>
      <c r="H30" s="1"/>
      <c r="I30" s="1"/>
      <c r="J30" s="1"/>
      <c r="K30" s="1"/>
      <c r="L30" s="55"/>
      <c r="M30" s="1"/>
      <c r="N30" s="1"/>
      <c r="O30" s="1"/>
      <c r="P30" s="1"/>
      <c r="Q30" s="1"/>
      <c r="R30" s="1"/>
      <c r="S30" s="1"/>
      <c r="T30" s="1"/>
      <c r="U30" s="1"/>
    </row>
  </sheetData>
  <mergeCells count="8">
    <mergeCell ref="D4:E4"/>
    <mergeCell ref="C28:P28"/>
    <mergeCell ref="C27:P27"/>
    <mergeCell ref="C26:P26"/>
    <mergeCell ref="C25:P25"/>
    <mergeCell ref="M4:O4"/>
    <mergeCell ref="D22:E22"/>
    <mergeCell ref="M22:O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S16"/>
  <sheetViews>
    <sheetView topLeftCell="F1" workbookViewId="0">
      <selection activeCell="P15" sqref="P15"/>
    </sheetView>
  </sheetViews>
  <sheetFormatPr defaultRowHeight="15" x14ac:dyDescent="0.25"/>
  <sheetData>
    <row r="2" spans="3:19" x14ac:dyDescent="0.25">
      <c r="C2">
        <f>MoneyOnHand()</f>
        <v>5000</v>
      </c>
      <c r="I2" t="str">
        <f>Location</f>
        <v>Central Park</v>
      </c>
    </row>
    <row r="4" spans="3:19" x14ac:dyDescent="0.25">
      <c r="P4" t="s">
        <v>62</v>
      </c>
      <c r="Q4" t="s">
        <v>49</v>
      </c>
      <c r="S4" t="s">
        <v>64</v>
      </c>
    </row>
    <row r="5" spans="3:19" x14ac:dyDescent="0.25">
      <c r="P5">
        <v>1</v>
      </c>
      <c r="Q5" t="s">
        <v>24</v>
      </c>
      <c r="S5" t="s">
        <v>24</v>
      </c>
    </row>
    <row r="6" spans="3:19" x14ac:dyDescent="0.25">
      <c r="P6">
        <v>1</v>
      </c>
      <c r="Q6" t="s">
        <v>9</v>
      </c>
      <c r="S6" t="s">
        <v>9</v>
      </c>
    </row>
    <row r="7" spans="3:19" x14ac:dyDescent="0.25">
      <c r="P7">
        <v>1</v>
      </c>
      <c r="Q7" t="s">
        <v>12</v>
      </c>
      <c r="S7" t="s">
        <v>12</v>
      </c>
    </row>
    <row r="8" spans="3:19" x14ac:dyDescent="0.25">
      <c r="P8">
        <v>0</v>
      </c>
      <c r="Q8" t="s">
        <v>10</v>
      </c>
      <c r="S8" t="s">
        <v>13</v>
      </c>
    </row>
    <row r="9" spans="3:19" x14ac:dyDescent="0.25">
      <c r="P9">
        <v>0</v>
      </c>
      <c r="Q9" t="s">
        <v>14</v>
      </c>
      <c r="S9" t="s">
        <v>18</v>
      </c>
    </row>
    <row r="10" spans="3:19" x14ac:dyDescent="0.25">
      <c r="H10">
        <f>MATCH(I2,I1:I3,0)</f>
        <v>2</v>
      </c>
      <c r="P10">
        <v>1</v>
      </c>
      <c r="Q10" t="s">
        <v>13</v>
      </c>
      <c r="S10" t="s">
        <v>8</v>
      </c>
    </row>
    <row r="11" spans="3:19" x14ac:dyDescent="0.25">
      <c r="P11">
        <v>0</v>
      </c>
      <c r="Q11" t="s">
        <v>15</v>
      </c>
    </row>
    <row r="12" spans="3:19" x14ac:dyDescent="0.25">
      <c r="P12">
        <v>1</v>
      </c>
      <c r="Q12" t="s">
        <v>18</v>
      </c>
    </row>
    <row r="13" spans="3:19" x14ac:dyDescent="0.25">
      <c r="P13">
        <v>0</v>
      </c>
      <c r="Q13" t="s">
        <v>16</v>
      </c>
    </row>
    <row r="14" spans="3:19" x14ac:dyDescent="0.25">
      <c r="P14">
        <v>0</v>
      </c>
      <c r="Q14" t="s">
        <v>17</v>
      </c>
    </row>
    <row r="15" spans="3:19" x14ac:dyDescent="0.25">
      <c r="P15">
        <v>1</v>
      </c>
      <c r="Q15" t="s">
        <v>8</v>
      </c>
    </row>
    <row r="16" spans="3:19" x14ac:dyDescent="0.25">
      <c r="P16">
        <v>0</v>
      </c>
      <c r="Q16" t="s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4"/>
  <sheetViews>
    <sheetView workbookViewId="0">
      <selection activeCell="I8" sqref="I8"/>
    </sheetView>
  </sheetViews>
  <sheetFormatPr defaultRowHeight="15" x14ac:dyDescent="0.25"/>
  <cols>
    <col min="1" max="1" width="18.7109375" bestFit="1" customWidth="1"/>
    <col min="2" max="2" width="28.42578125" bestFit="1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9.7109375" bestFit="1" customWidth="1"/>
    <col min="11" max="11" width="9" bestFit="1" customWidth="1"/>
    <col min="12" max="12" width="12.28515625" bestFit="1" customWidth="1"/>
    <col min="13" max="14" width="2.5703125" customWidth="1"/>
    <col min="15" max="15" width="12" bestFit="1" customWidth="1"/>
    <col min="16" max="16" width="8.7109375" bestFit="1" customWidth="1"/>
    <col min="17" max="17" width="8.42578125" bestFit="1" customWidth="1"/>
    <col min="18" max="18" width="12.28515625" bestFit="1" customWidth="1"/>
    <col min="20" max="20" width="19.42578125" bestFit="1" customWidth="1"/>
    <col min="21" max="21" width="17.42578125" bestFit="1" customWidth="1"/>
    <col min="24" max="24" width="8.7109375" bestFit="1" customWidth="1"/>
  </cols>
  <sheetData>
    <row r="1" spans="1:21" x14ac:dyDescent="0.25">
      <c r="E1" s="44" t="s">
        <v>61</v>
      </c>
      <c r="F1" s="44"/>
      <c r="G1" s="44"/>
      <c r="H1" s="44"/>
      <c r="I1" s="44"/>
      <c r="J1" s="44"/>
      <c r="K1" s="44"/>
      <c r="L1" s="22"/>
      <c r="M1" s="23"/>
      <c r="N1" s="22"/>
      <c r="O1" s="44" t="s">
        <v>60</v>
      </c>
      <c r="P1" s="44"/>
      <c r="Q1" s="44"/>
      <c r="R1" s="44"/>
    </row>
    <row r="2" spans="1:21" x14ac:dyDescent="0.25">
      <c r="A2" t="s">
        <v>0</v>
      </c>
      <c r="B2" s="4">
        <v>202.5</v>
      </c>
      <c r="D2" t="s">
        <v>49</v>
      </c>
      <c r="E2" s="17" t="s">
        <v>47</v>
      </c>
      <c r="F2" s="17" t="s">
        <v>46</v>
      </c>
      <c r="G2" s="17" t="s">
        <v>45</v>
      </c>
      <c r="H2" s="17" t="s">
        <v>44</v>
      </c>
      <c r="I2" s="16" t="s">
        <v>43</v>
      </c>
      <c r="J2" t="s">
        <v>19</v>
      </c>
      <c r="K2" s="17" t="s">
        <v>62</v>
      </c>
      <c r="L2" s="17" t="s">
        <v>49</v>
      </c>
      <c r="O2" t="s">
        <v>57</v>
      </c>
      <c r="P2" t="s">
        <v>58</v>
      </c>
      <c r="Q2" t="s">
        <v>63</v>
      </c>
      <c r="R2" s="17" t="s">
        <v>49</v>
      </c>
      <c r="T2" t="s">
        <v>59</v>
      </c>
      <c r="U2" t="s">
        <v>30</v>
      </c>
    </row>
    <row r="3" spans="1:21" x14ac:dyDescent="0.25">
      <c r="A3" t="s">
        <v>27</v>
      </c>
      <c r="B3" s="14" t="s">
        <v>1</v>
      </c>
      <c r="D3" t="s">
        <v>24</v>
      </c>
      <c r="E3">
        <f t="shared" ref="E3:E14" si="0">H3-I3</f>
        <v>10.96</v>
      </c>
      <c r="F3">
        <f t="shared" ref="F3:F14" si="1">H3+I3</f>
        <v>44.96</v>
      </c>
      <c r="G3">
        <f t="shared" ref="G3:G14" si="2">F3-E3</f>
        <v>34</v>
      </c>
      <c r="H3">
        <v>27.96</v>
      </c>
      <c r="I3">
        <v>17</v>
      </c>
      <c r="J3" t="s">
        <v>22</v>
      </c>
      <c r="K3">
        <f t="shared" ref="K3:K14" ca="1" si="3">RANDBETWEEN(0,1)</f>
        <v>1</v>
      </c>
      <c r="L3" t="str">
        <f t="shared" ref="L3:L14" si="4">D3</f>
        <v>Blueberries</v>
      </c>
      <c r="O3">
        <v>27.96</v>
      </c>
      <c r="P3">
        <v>25</v>
      </c>
      <c r="Q3">
        <f t="shared" ref="Q3:Q14" si="5">IF(P3&gt;0,1,0)</f>
        <v>1</v>
      </c>
      <c r="R3" t="str">
        <f t="shared" ref="R3:R14" si="6">D3</f>
        <v>Blueberries</v>
      </c>
      <c r="T3" t="s">
        <v>28</v>
      </c>
      <c r="U3" s="13">
        <v>1</v>
      </c>
    </row>
    <row r="4" spans="1:21" x14ac:dyDescent="0.25">
      <c r="A4" t="s">
        <v>51</v>
      </c>
      <c r="B4">
        <v>13</v>
      </c>
      <c r="D4" t="s">
        <v>14</v>
      </c>
      <c r="E4">
        <f t="shared" si="0"/>
        <v>0.81999999999999984</v>
      </c>
      <c r="F4">
        <f t="shared" si="1"/>
        <v>5.82</v>
      </c>
      <c r="G4">
        <f t="shared" si="2"/>
        <v>5</v>
      </c>
      <c r="H4">
        <v>3.32</v>
      </c>
      <c r="I4">
        <v>2.5</v>
      </c>
      <c r="J4" t="s">
        <v>20</v>
      </c>
      <c r="K4">
        <f t="shared" ca="1" si="3"/>
        <v>1</v>
      </c>
      <c r="L4" t="str">
        <f t="shared" si="4"/>
        <v>Corn</v>
      </c>
      <c r="O4">
        <v>0</v>
      </c>
      <c r="P4">
        <v>0</v>
      </c>
      <c r="Q4">
        <f t="shared" si="5"/>
        <v>0</v>
      </c>
      <c r="R4" t="str">
        <f t="shared" si="6"/>
        <v>Corn</v>
      </c>
      <c r="T4" t="s">
        <v>2</v>
      </c>
      <c r="U4" s="13">
        <v>1</v>
      </c>
    </row>
    <row r="5" spans="1:21" x14ac:dyDescent="0.25">
      <c r="A5" t="s">
        <v>52</v>
      </c>
      <c r="B5" t="s">
        <v>65</v>
      </c>
      <c r="D5" t="s">
        <v>12</v>
      </c>
      <c r="E5">
        <f t="shared" si="0"/>
        <v>5.3900000000000006</v>
      </c>
      <c r="F5">
        <f t="shared" si="1"/>
        <v>13.39</v>
      </c>
      <c r="G5">
        <f t="shared" si="2"/>
        <v>8</v>
      </c>
      <c r="H5">
        <v>9.39</v>
      </c>
      <c r="I5">
        <v>4</v>
      </c>
      <c r="J5" t="s">
        <v>23</v>
      </c>
      <c r="K5">
        <f t="shared" ca="1" si="3"/>
        <v>0</v>
      </c>
      <c r="L5" t="str">
        <f t="shared" si="4"/>
        <v>Cucumber</v>
      </c>
      <c r="O5">
        <v>0</v>
      </c>
      <c r="P5">
        <v>0</v>
      </c>
      <c r="Q5">
        <f t="shared" si="5"/>
        <v>0</v>
      </c>
      <c r="R5" t="str">
        <f t="shared" si="6"/>
        <v>Cucumber</v>
      </c>
      <c r="T5" t="s">
        <v>1</v>
      </c>
      <c r="U5" s="13">
        <v>1</v>
      </c>
    </row>
    <row r="6" spans="1:21" x14ac:dyDescent="0.25">
      <c r="A6" t="s">
        <v>53</v>
      </c>
      <c r="B6" t="s">
        <v>65</v>
      </c>
      <c r="D6" t="s">
        <v>8</v>
      </c>
      <c r="E6">
        <f t="shared" si="0"/>
        <v>1</v>
      </c>
      <c r="F6">
        <f t="shared" si="1"/>
        <v>3</v>
      </c>
      <c r="G6">
        <f t="shared" si="2"/>
        <v>2</v>
      </c>
      <c r="H6">
        <v>2</v>
      </c>
      <c r="I6">
        <v>1</v>
      </c>
      <c r="J6" t="s">
        <v>20</v>
      </c>
      <c r="K6">
        <f t="shared" ca="1" si="3"/>
        <v>1</v>
      </c>
      <c r="L6" t="str">
        <f t="shared" si="4"/>
        <v>Eggs</v>
      </c>
      <c r="O6">
        <v>2</v>
      </c>
      <c r="P6">
        <v>47</v>
      </c>
      <c r="Q6">
        <f t="shared" si="5"/>
        <v>1</v>
      </c>
      <c r="R6" t="str">
        <f t="shared" si="6"/>
        <v>Eggs</v>
      </c>
      <c r="T6" t="s">
        <v>6</v>
      </c>
      <c r="U6" s="13">
        <v>1</v>
      </c>
    </row>
    <row r="7" spans="1:21" x14ac:dyDescent="0.25">
      <c r="A7" t="s">
        <v>54</v>
      </c>
      <c r="B7" t="s">
        <v>65</v>
      </c>
      <c r="D7" t="s">
        <v>9</v>
      </c>
      <c r="E7">
        <f t="shared" si="0"/>
        <v>15.030000000000001</v>
      </c>
      <c r="F7">
        <f t="shared" si="1"/>
        <v>29.03</v>
      </c>
      <c r="G7">
        <f t="shared" si="2"/>
        <v>14</v>
      </c>
      <c r="H7">
        <v>22.03</v>
      </c>
      <c r="I7">
        <v>7</v>
      </c>
      <c r="J7" t="s">
        <v>21</v>
      </c>
      <c r="K7">
        <f t="shared" ca="1" si="3"/>
        <v>0</v>
      </c>
      <c r="L7" t="str">
        <f t="shared" si="4"/>
        <v>Honey</v>
      </c>
      <c r="O7">
        <v>150</v>
      </c>
      <c r="P7">
        <v>5</v>
      </c>
      <c r="Q7">
        <f t="shared" si="5"/>
        <v>1</v>
      </c>
      <c r="R7" t="str">
        <f t="shared" si="6"/>
        <v>Honey</v>
      </c>
      <c r="T7" t="s">
        <v>3</v>
      </c>
      <c r="U7" s="13">
        <v>1</v>
      </c>
    </row>
    <row r="8" spans="1:21" x14ac:dyDescent="0.25">
      <c r="A8" t="s">
        <v>55</v>
      </c>
      <c r="B8" t="s">
        <v>65</v>
      </c>
      <c r="D8" t="s">
        <v>13</v>
      </c>
      <c r="E8">
        <f t="shared" si="0"/>
        <v>15.760000000000002</v>
      </c>
      <c r="F8">
        <f t="shared" si="1"/>
        <v>44.760000000000005</v>
      </c>
      <c r="G8">
        <f t="shared" si="2"/>
        <v>29.000000000000004</v>
      </c>
      <c r="H8">
        <v>30.26</v>
      </c>
      <c r="I8">
        <v>14.5</v>
      </c>
      <c r="J8" t="s">
        <v>22</v>
      </c>
      <c r="K8">
        <f t="shared" ca="1" si="3"/>
        <v>0</v>
      </c>
      <c r="L8" t="str">
        <f t="shared" si="4"/>
        <v>Okra</v>
      </c>
      <c r="O8">
        <v>0</v>
      </c>
      <c r="P8">
        <v>0</v>
      </c>
      <c r="Q8">
        <f t="shared" si="5"/>
        <v>0</v>
      </c>
      <c r="R8" t="str">
        <f t="shared" si="6"/>
        <v>Okra</v>
      </c>
      <c r="T8" t="s">
        <v>7</v>
      </c>
      <c r="U8" s="13">
        <v>1</v>
      </c>
    </row>
    <row r="9" spans="1:21" x14ac:dyDescent="0.25">
      <c r="D9" t="s">
        <v>15</v>
      </c>
      <c r="E9">
        <f t="shared" si="0"/>
        <v>5.72</v>
      </c>
      <c r="F9">
        <f t="shared" si="1"/>
        <v>12.82</v>
      </c>
      <c r="G9">
        <f t="shared" si="2"/>
        <v>7.1000000000000005</v>
      </c>
      <c r="H9">
        <v>9.27</v>
      </c>
      <c r="I9">
        <v>3.55</v>
      </c>
      <c r="J9" t="s">
        <v>23</v>
      </c>
      <c r="K9">
        <f t="shared" ca="1" si="3"/>
        <v>0</v>
      </c>
      <c r="L9" t="str">
        <f t="shared" si="4"/>
        <v>Onion</v>
      </c>
      <c r="O9">
        <v>0</v>
      </c>
      <c r="P9">
        <v>0</v>
      </c>
      <c r="Q9">
        <f t="shared" si="5"/>
        <v>0</v>
      </c>
      <c r="R9" t="str">
        <f t="shared" si="6"/>
        <v>Onion</v>
      </c>
      <c r="T9" t="s">
        <v>4</v>
      </c>
      <c r="U9" s="13">
        <v>1</v>
      </c>
    </row>
    <row r="10" spans="1:21" x14ac:dyDescent="0.25">
      <c r="D10" t="s">
        <v>18</v>
      </c>
      <c r="E10">
        <f t="shared" si="0"/>
        <v>10.129999999999999</v>
      </c>
      <c r="F10">
        <f t="shared" si="1"/>
        <v>25.13</v>
      </c>
      <c r="G10">
        <f t="shared" si="2"/>
        <v>15</v>
      </c>
      <c r="H10">
        <v>17.63</v>
      </c>
      <c r="I10">
        <v>7.5</v>
      </c>
      <c r="J10" t="s">
        <v>23</v>
      </c>
      <c r="K10">
        <f t="shared" ca="1" si="3"/>
        <v>1</v>
      </c>
      <c r="L10" t="str">
        <f t="shared" si="4"/>
        <v>Papaya</v>
      </c>
      <c r="O10">
        <v>23.402094852103996</v>
      </c>
      <c r="P10">
        <v>42</v>
      </c>
      <c r="Q10">
        <f t="shared" si="5"/>
        <v>1</v>
      </c>
      <c r="R10" t="str">
        <f t="shared" si="6"/>
        <v>Papaya</v>
      </c>
      <c r="T10" t="s">
        <v>5</v>
      </c>
      <c r="U10" s="13">
        <v>1</v>
      </c>
    </row>
    <row r="11" spans="1:21" x14ac:dyDescent="0.25">
      <c r="D11" t="s">
        <v>16</v>
      </c>
      <c r="E11">
        <f t="shared" si="0"/>
        <v>2.8699999999999997</v>
      </c>
      <c r="F11">
        <f t="shared" si="1"/>
        <v>7.67</v>
      </c>
      <c r="G11">
        <f t="shared" si="2"/>
        <v>4.8000000000000007</v>
      </c>
      <c r="H11">
        <v>5.27</v>
      </c>
      <c r="I11">
        <v>2.4</v>
      </c>
      <c r="J11" t="s">
        <v>23</v>
      </c>
      <c r="K11">
        <f t="shared" ca="1" si="3"/>
        <v>0</v>
      </c>
      <c r="L11" t="str">
        <f t="shared" si="4"/>
        <v>Quince</v>
      </c>
      <c r="O11">
        <v>5.27</v>
      </c>
      <c r="P11">
        <v>33</v>
      </c>
      <c r="Q11">
        <f t="shared" si="5"/>
        <v>1</v>
      </c>
      <c r="R11" t="str">
        <f t="shared" si="6"/>
        <v>Quince</v>
      </c>
    </row>
    <row r="12" spans="1:21" x14ac:dyDescent="0.25">
      <c r="D12" t="s">
        <v>17</v>
      </c>
      <c r="E12">
        <f t="shared" si="0"/>
        <v>6.93</v>
      </c>
      <c r="F12">
        <f t="shared" si="1"/>
        <v>13.629999999999999</v>
      </c>
      <c r="G12">
        <f t="shared" si="2"/>
        <v>6.6999999999999993</v>
      </c>
      <c r="H12">
        <v>10.28</v>
      </c>
      <c r="I12">
        <v>3.35</v>
      </c>
      <c r="J12" t="s">
        <v>23</v>
      </c>
      <c r="K12">
        <f t="shared" ca="1" si="3"/>
        <v>0</v>
      </c>
      <c r="L12" t="str">
        <f t="shared" si="4"/>
        <v>Rhubarb</v>
      </c>
      <c r="O12">
        <v>0</v>
      </c>
      <c r="P12">
        <v>0</v>
      </c>
      <c r="Q12">
        <f t="shared" si="5"/>
        <v>0</v>
      </c>
      <c r="R12" t="str">
        <f t="shared" si="6"/>
        <v>Rhubarb</v>
      </c>
    </row>
    <row r="13" spans="1:21" x14ac:dyDescent="0.25">
      <c r="D13" t="s">
        <v>10</v>
      </c>
      <c r="E13">
        <f t="shared" si="0"/>
        <v>55.34</v>
      </c>
      <c r="F13">
        <f t="shared" si="1"/>
        <v>130.34</v>
      </c>
      <c r="G13">
        <f t="shared" si="2"/>
        <v>75</v>
      </c>
      <c r="H13">
        <v>92.84</v>
      </c>
      <c r="I13">
        <v>37.5</v>
      </c>
      <c r="J13" t="s">
        <v>22</v>
      </c>
      <c r="K13">
        <f t="shared" ca="1" si="3"/>
        <v>0</v>
      </c>
      <c r="L13" t="str">
        <f t="shared" si="4"/>
        <v>Strawberries</v>
      </c>
      <c r="O13">
        <v>92.84</v>
      </c>
      <c r="P13">
        <v>5</v>
      </c>
      <c r="Q13">
        <f t="shared" si="5"/>
        <v>1</v>
      </c>
      <c r="R13" t="str">
        <f t="shared" si="6"/>
        <v>Strawberries</v>
      </c>
    </row>
    <row r="14" spans="1:21" x14ac:dyDescent="0.25">
      <c r="D14" t="s">
        <v>11</v>
      </c>
      <c r="E14">
        <f t="shared" si="0"/>
        <v>3.125</v>
      </c>
      <c r="F14">
        <f t="shared" si="1"/>
        <v>8.875</v>
      </c>
      <c r="G14">
        <f t="shared" si="2"/>
        <v>5.75</v>
      </c>
      <c r="H14">
        <v>6</v>
      </c>
      <c r="I14">
        <v>2.875</v>
      </c>
      <c r="J14" t="s">
        <v>23</v>
      </c>
      <c r="K14">
        <f t="shared" ca="1" si="3"/>
        <v>0</v>
      </c>
      <c r="L14" t="str">
        <f t="shared" si="4"/>
        <v>Tomatoes</v>
      </c>
      <c r="O14">
        <v>4.1547741979229187</v>
      </c>
      <c r="P14">
        <v>5</v>
      </c>
      <c r="Q14">
        <f t="shared" si="5"/>
        <v>1</v>
      </c>
      <c r="R14" t="str">
        <f t="shared" si="6"/>
        <v>Tomatoes</v>
      </c>
    </row>
  </sheetData>
  <sortState ref="D3:R14">
    <sortCondition ref="R3"/>
  </sortState>
  <mergeCells count="2">
    <mergeCell ref="E1:K1"/>
    <mergeCell ref="O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7"/>
  <sheetViews>
    <sheetView workbookViewId="0">
      <selection activeCell="E29" sqref="E29"/>
    </sheetView>
  </sheetViews>
  <sheetFormatPr defaultRowHeight="15" x14ac:dyDescent="0.25"/>
  <sheetData>
    <row r="1" spans="1:6" x14ac:dyDescent="0.25">
      <c r="B1" s="17" t="s">
        <v>47</v>
      </c>
      <c r="C1" s="17" t="s">
        <v>46</v>
      </c>
      <c r="D1" s="17" t="s">
        <v>45</v>
      </c>
      <c r="E1" s="17" t="s">
        <v>44</v>
      </c>
      <c r="F1" s="16" t="s">
        <v>43</v>
      </c>
    </row>
    <row r="2" spans="1:6" x14ac:dyDescent="0.25">
      <c r="A2" t="s">
        <v>42</v>
      </c>
      <c r="B2">
        <v>1000</v>
      </c>
      <c r="C2">
        <v>4400</v>
      </c>
      <c r="D2">
        <f t="shared" ref="D2:D13" si="0">C2-B2</f>
        <v>3400</v>
      </c>
      <c r="E2">
        <f t="shared" ref="E2:E13" si="1">(D2/2)+B2</f>
        <v>2700</v>
      </c>
      <c r="F2">
        <f t="shared" ref="F2:F13" si="2">D2/2</f>
        <v>1700</v>
      </c>
    </row>
    <row r="3" spans="1:6" x14ac:dyDescent="0.25">
      <c r="A3" t="s">
        <v>41</v>
      </c>
      <c r="B3">
        <v>15000</v>
      </c>
      <c r="C3">
        <v>29000</v>
      </c>
      <c r="D3">
        <f t="shared" si="0"/>
        <v>14000</v>
      </c>
      <c r="E3">
        <f t="shared" si="1"/>
        <v>22000</v>
      </c>
      <c r="F3">
        <f t="shared" si="2"/>
        <v>7000</v>
      </c>
    </row>
    <row r="4" spans="1:6" x14ac:dyDescent="0.25">
      <c r="A4" t="s">
        <v>40</v>
      </c>
      <c r="B4">
        <v>480</v>
      </c>
      <c r="C4">
        <v>1280</v>
      </c>
      <c r="D4">
        <f t="shared" si="0"/>
        <v>800</v>
      </c>
      <c r="E4">
        <f t="shared" si="1"/>
        <v>880</v>
      </c>
      <c r="F4">
        <f t="shared" si="2"/>
        <v>400</v>
      </c>
    </row>
    <row r="5" spans="1:6" x14ac:dyDescent="0.25">
      <c r="A5" t="s">
        <v>39</v>
      </c>
      <c r="B5">
        <v>5500</v>
      </c>
      <c r="C5">
        <v>13000</v>
      </c>
      <c r="D5">
        <f t="shared" si="0"/>
        <v>7500</v>
      </c>
      <c r="E5">
        <f t="shared" si="1"/>
        <v>9250</v>
      </c>
      <c r="F5">
        <f t="shared" si="2"/>
        <v>3750</v>
      </c>
    </row>
    <row r="6" spans="1:6" x14ac:dyDescent="0.25">
      <c r="A6" t="s">
        <v>38</v>
      </c>
      <c r="B6">
        <v>11</v>
      </c>
      <c r="C6">
        <v>60</v>
      </c>
      <c r="D6">
        <f t="shared" si="0"/>
        <v>49</v>
      </c>
      <c r="E6">
        <f t="shared" si="1"/>
        <v>35.5</v>
      </c>
      <c r="F6">
        <f t="shared" si="2"/>
        <v>24.5</v>
      </c>
    </row>
    <row r="7" spans="1:6" x14ac:dyDescent="0.25">
      <c r="A7" t="s">
        <v>37</v>
      </c>
      <c r="B7">
        <v>1500</v>
      </c>
      <c r="C7">
        <v>4400</v>
      </c>
      <c r="D7">
        <f t="shared" si="0"/>
        <v>2900</v>
      </c>
      <c r="E7">
        <f t="shared" si="1"/>
        <v>2950</v>
      </c>
      <c r="F7">
        <f t="shared" si="2"/>
        <v>1450</v>
      </c>
    </row>
    <row r="8" spans="1:6" x14ac:dyDescent="0.25">
      <c r="A8" t="s">
        <v>36</v>
      </c>
      <c r="B8">
        <v>540</v>
      </c>
      <c r="C8">
        <v>1250</v>
      </c>
      <c r="D8">
        <f t="shared" si="0"/>
        <v>710</v>
      </c>
      <c r="E8">
        <f t="shared" si="1"/>
        <v>895</v>
      </c>
      <c r="F8">
        <f t="shared" si="2"/>
        <v>355</v>
      </c>
    </row>
    <row r="9" spans="1:6" x14ac:dyDescent="0.25">
      <c r="A9" t="s">
        <v>35</v>
      </c>
      <c r="B9">
        <v>1000</v>
      </c>
      <c r="C9">
        <v>2500</v>
      </c>
      <c r="D9">
        <f t="shared" si="0"/>
        <v>1500</v>
      </c>
      <c r="E9">
        <f t="shared" si="1"/>
        <v>1750</v>
      </c>
      <c r="F9">
        <f t="shared" si="2"/>
        <v>750</v>
      </c>
    </row>
    <row r="10" spans="1:6" x14ac:dyDescent="0.25">
      <c r="A10" t="s">
        <v>34</v>
      </c>
      <c r="B10">
        <v>220</v>
      </c>
      <c r="C10">
        <v>700</v>
      </c>
      <c r="D10">
        <f t="shared" si="0"/>
        <v>480</v>
      </c>
      <c r="E10">
        <f t="shared" si="1"/>
        <v>460</v>
      </c>
      <c r="F10">
        <f t="shared" si="2"/>
        <v>240</v>
      </c>
    </row>
    <row r="11" spans="1:6" x14ac:dyDescent="0.25">
      <c r="A11" t="s">
        <v>33</v>
      </c>
      <c r="B11">
        <v>630</v>
      </c>
      <c r="C11">
        <v>1300</v>
      </c>
      <c r="D11">
        <f t="shared" si="0"/>
        <v>670</v>
      </c>
      <c r="E11">
        <f t="shared" si="1"/>
        <v>965</v>
      </c>
      <c r="F11">
        <f t="shared" si="2"/>
        <v>335</v>
      </c>
    </row>
    <row r="12" spans="1:6" x14ac:dyDescent="0.25">
      <c r="A12" t="s">
        <v>32</v>
      </c>
      <c r="B12">
        <v>90</v>
      </c>
      <c r="C12">
        <v>250</v>
      </c>
      <c r="D12">
        <f t="shared" si="0"/>
        <v>160</v>
      </c>
      <c r="E12">
        <f t="shared" si="1"/>
        <v>170</v>
      </c>
      <c r="F12">
        <f t="shared" si="2"/>
        <v>80</v>
      </c>
    </row>
    <row r="13" spans="1:6" x14ac:dyDescent="0.25">
      <c r="A13" t="s">
        <v>31</v>
      </c>
      <c r="B13">
        <v>315</v>
      </c>
      <c r="C13">
        <v>890</v>
      </c>
      <c r="D13">
        <f t="shared" si="0"/>
        <v>575</v>
      </c>
      <c r="E13">
        <f t="shared" si="1"/>
        <v>602.5</v>
      </c>
      <c r="F13">
        <f t="shared" si="2"/>
        <v>287.5</v>
      </c>
    </row>
    <row r="15" spans="1:6" x14ac:dyDescent="0.25">
      <c r="B15" s="17" t="s">
        <v>47</v>
      </c>
      <c r="C15" s="17" t="s">
        <v>46</v>
      </c>
      <c r="D15" s="17" t="s">
        <v>45</v>
      </c>
      <c r="E15" s="17" t="s">
        <v>44</v>
      </c>
      <c r="F15" s="16" t="s">
        <v>43</v>
      </c>
    </row>
    <row r="16" spans="1:6" x14ac:dyDescent="0.25">
      <c r="A16" t="s">
        <v>24</v>
      </c>
      <c r="B16">
        <f>E16-F16</f>
        <v>10.96</v>
      </c>
      <c r="C16">
        <f>E16+F16</f>
        <v>44.96</v>
      </c>
      <c r="D16">
        <f t="shared" ref="D16:D27" si="3">C16-B16</f>
        <v>34</v>
      </c>
      <c r="E16">
        <v>27.96</v>
      </c>
      <c r="F16">
        <v>17</v>
      </c>
    </row>
    <row r="17" spans="1:6" x14ac:dyDescent="0.25">
      <c r="A17" t="s">
        <v>9</v>
      </c>
      <c r="B17">
        <f>E17-F17</f>
        <v>150.32</v>
      </c>
      <c r="C17">
        <f>E17+F17</f>
        <v>290.32</v>
      </c>
      <c r="D17">
        <f t="shared" si="3"/>
        <v>140</v>
      </c>
      <c r="E17">
        <v>220.32</v>
      </c>
      <c r="F17">
        <v>70</v>
      </c>
    </row>
    <row r="18" spans="1:6" x14ac:dyDescent="0.25">
      <c r="A18" t="s">
        <v>12</v>
      </c>
      <c r="B18">
        <f>E18-F18</f>
        <v>5.3900000000000006</v>
      </c>
      <c r="C18">
        <f>E18+F18</f>
        <v>13.39</v>
      </c>
      <c r="D18">
        <f t="shared" si="3"/>
        <v>8</v>
      </c>
      <c r="E18">
        <v>9.39</v>
      </c>
      <c r="F18">
        <v>4</v>
      </c>
    </row>
    <row r="19" spans="1:6" x14ac:dyDescent="0.25">
      <c r="A19" t="s">
        <v>10</v>
      </c>
      <c r="B19">
        <f>E19-F19</f>
        <v>55.34</v>
      </c>
      <c r="C19">
        <f>E19+F19</f>
        <v>130.34</v>
      </c>
      <c r="D19">
        <f t="shared" si="3"/>
        <v>75</v>
      </c>
      <c r="E19">
        <v>92.84</v>
      </c>
      <c r="F19">
        <v>37.5</v>
      </c>
    </row>
    <row r="20" spans="1:6" x14ac:dyDescent="0.25">
      <c r="A20" t="s">
        <v>14</v>
      </c>
      <c r="B20">
        <f>E20-F20</f>
        <v>0.81999999999999984</v>
      </c>
      <c r="C20">
        <f>E20+F20</f>
        <v>5.82</v>
      </c>
      <c r="D20">
        <f t="shared" si="3"/>
        <v>5</v>
      </c>
      <c r="E20">
        <v>3.32</v>
      </c>
      <c r="F20">
        <v>2.5</v>
      </c>
    </row>
    <row r="21" spans="1:6" x14ac:dyDescent="0.25">
      <c r="A21" t="s">
        <v>13</v>
      </c>
      <c r="B21">
        <f t="shared" ref="B21:B27" si="4">E21-F21</f>
        <v>15.760000000000002</v>
      </c>
      <c r="C21">
        <f t="shared" ref="C21:C27" si="5">E21+F21</f>
        <v>44.760000000000005</v>
      </c>
      <c r="D21">
        <f t="shared" si="3"/>
        <v>29.000000000000004</v>
      </c>
      <c r="E21">
        <v>30.26</v>
      </c>
      <c r="F21">
        <v>14.5</v>
      </c>
    </row>
    <row r="22" spans="1:6" x14ac:dyDescent="0.25">
      <c r="A22" t="s">
        <v>15</v>
      </c>
      <c r="B22">
        <f t="shared" si="4"/>
        <v>5.72</v>
      </c>
      <c r="C22">
        <f t="shared" si="5"/>
        <v>12.82</v>
      </c>
      <c r="D22">
        <f t="shared" si="3"/>
        <v>7.1000000000000005</v>
      </c>
      <c r="E22">
        <v>9.27</v>
      </c>
      <c r="F22">
        <v>3.55</v>
      </c>
    </row>
    <row r="23" spans="1:6" x14ac:dyDescent="0.25">
      <c r="A23" t="s">
        <v>18</v>
      </c>
      <c r="B23">
        <f t="shared" si="4"/>
        <v>10.129999999999999</v>
      </c>
      <c r="C23">
        <f t="shared" si="5"/>
        <v>25.13</v>
      </c>
      <c r="D23">
        <f t="shared" si="3"/>
        <v>15</v>
      </c>
      <c r="E23">
        <v>17.63</v>
      </c>
      <c r="F23">
        <v>7.5</v>
      </c>
    </row>
    <row r="24" spans="1:6" x14ac:dyDescent="0.25">
      <c r="A24" t="s">
        <v>16</v>
      </c>
      <c r="B24">
        <f t="shared" si="4"/>
        <v>2.8699999999999997</v>
      </c>
      <c r="C24">
        <f t="shared" si="5"/>
        <v>7.67</v>
      </c>
      <c r="D24">
        <f t="shared" si="3"/>
        <v>4.8000000000000007</v>
      </c>
      <c r="E24">
        <v>5.27</v>
      </c>
      <c r="F24">
        <v>2.4</v>
      </c>
    </row>
    <row r="25" spans="1:6" x14ac:dyDescent="0.25">
      <c r="A25" t="s">
        <v>17</v>
      </c>
      <c r="B25">
        <f t="shared" si="4"/>
        <v>6.93</v>
      </c>
      <c r="C25">
        <f t="shared" si="5"/>
        <v>13.629999999999999</v>
      </c>
      <c r="D25">
        <f t="shared" si="3"/>
        <v>6.6999999999999993</v>
      </c>
      <c r="E25">
        <v>10.28</v>
      </c>
      <c r="F25">
        <v>3.35</v>
      </c>
    </row>
    <row r="26" spans="1:6" x14ac:dyDescent="0.25">
      <c r="A26" t="s">
        <v>8</v>
      </c>
      <c r="B26">
        <f t="shared" si="4"/>
        <v>1</v>
      </c>
      <c r="C26">
        <f t="shared" si="5"/>
        <v>3</v>
      </c>
      <c r="D26">
        <f t="shared" si="3"/>
        <v>2</v>
      </c>
      <c r="E26">
        <v>2</v>
      </c>
      <c r="F26">
        <v>1</v>
      </c>
    </row>
    <row r="27" spans="1:6" x14ac:dyDescent="0.25">
      <c r="A27" t="s">
        <v>11</v>
      </c>
      <c r="B27">
        <f t="shared" si="4"/>
        <v>3.125</v>
      </c>
      <c r="C27">
        <f t="shared" si="5"/>
        <v>8.875</v>
      </c>
      <c r="D27">
        <f t="shared" si="3"/>
        <v>5.75</v>
      </c>
      <c r="E27">
        <v>6</v>
      </c>
      <c r="F27">
        <v>2.875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Play_Area</vt:lpstr>
      <vt:lpstr>Test</vt:lpstr>
      <vt:lpstr>Var_Holder</vt:lpstr>
      <vt:lpstr>Scope</vt:lpstr>
      <vt:lpstr>AvailableProducts</vt:lpstr>
      <vt:lpstr>AvgPurchPrice</vt:lpstr>
      <vt:lpstr>DayProgress</vt:lpstr>
      <vt:lpstr>Location</vt:lpstr>
      <vt:lpstr>Message</vt:lpstr>
      <vt:lpstr>Message1</vt:lpstr>
      <vt:lpstr>Message2</vt:lpstr>
      <vt:lpstr>Message3</vt:lpstr>
      <vt:lpstr>MoneyOnHandVariable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ProductList</vt:lpstr>
      <vt:lpstr>QuantityCarried</vt:lpstr>
      <vt:lpstr>Test</vt:lpstr>
      <vt:lpstr>Test_Range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2017-08-16T22:37:08Z</dcterms:modified>
</cp:coreProperties>
</file>