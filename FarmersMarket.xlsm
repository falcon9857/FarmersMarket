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flatley\Desktop\"/>
    </mc:Choice>
  </mc:AlternateContent>
  <bookViews>
    <workbookView xWindow="0" yWindow="0" windowWidth="25200" windowHeight="11910"/>
  </bookViews>
  <sheets>
    <sheet name="Play_Area" sheetId="5" r:id="rId1"/>
    <sheet name="Test" sheetId="2" r:id="rId2"/>
    <sheet name="Var_Holder" sheetId="3" r:id="rId3"/>
    <sheet name="Credits" sheetId="7" state="veryHidden" r:id="rId4"/>
  </sheets>
  <functionGroups builtInGroupCount="18"/>
  <definedNames>
    <definedName name="AvailableProducts">Play_Area!$D$6:$D$17</definedName>
    <definedName name="AvgPurchPrice">Var_Holder!$P$3:$P$14</definedName>
    <definedName name="Buy_Amount">Play_Area!$F$6:$F$17</definedName>
    <definedName name="DayProgress">Var_Holder!$B$4</definedName>
    <definedName name="InventoryValue">Var_Holder!$B$9</definedName>
    <definedName name="Location">Var_Holder!$B$3</definedName>
    <definedName name="MaxCapacity">Var_Holder!$B$12</definedName>
    <definedName name="Message">Var_Holder!$B$5</definedName>
    <definedName name="Message1">Var_Holder!$B$6</definedName>
    <definedName name="Message2">Var_Holder!$B$7</definedName>
    <definedName name="Message3">Var_Holder!$B$8</definedName>
    <definedName name="MoneyOnHandVariable">Var_Holder!$B$2</definedName>
    <definedName name="Net_Total">Play_Area!$F$21</definedName>
    <definedName name="PossibleLocations">Var_Holder!$U$3:$U$10</definedName>
    <definedName name="PriceList">Var_Holder!$J$3:$J$14</definedName>
    <definedName name="PriceMod">Var_Holder!$V$3:$V$10</definedName>
    <definedName name="Prod_Available_Check">Var_Holder!$L$3:$M$14</definedName>
    <definedName name="Prod_Carried">Play_Area!$K$6:$K$17</definedName>
    <definedName name="Prod_Carried_Check">Var_Holder!$R$3:$S$14</definedName>
    <definedName name="Prod_Value_Carried">Var_Holder!$O$3:$O$14</definedName>
    <definedName name="ProdAvailPrice">Play_Area!$E$6:$E$17</definedName>
    <definedName name="ProductList">Var_Holder!$D$3:$D$14</definedName>
    <definedName name="Purchase_Total">Play_Area!$F$19</definedName>
    <definedName name="QuantityCarried">Var_Holder!$Q$3:$Q$14</definedName>
    <definedName name="Sale_Total">Play_Area!$F$20</definedName>
    <definedName name="Sell_Amount">Play_Area!$G$6:$G$17</definedName>
    <definedName name="Test">Test!$S$5:$S$16</definedName>
    <definedName name="Test_Range">Test!$P$5:$Q$16</definedName>
    <definedName name="TotalAvgValue">Var_Holder!$B$11</definedName>
    <definedName name="TotalVolumeCarried">Var_Holder!$B$10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3" l="1"/>
  <c r="E7" i="3"/>
  <c r="J7" i="3" s="1"/>
  <c r="F4" i="3"/>
  <c r="E4" i="3"/>
  <c r="E3" i="3"/>
  <c r="F3" i="3"/>
  <c r="G3" i="3" s="1"/>
  <c r="E5" i="3"/>
  <c r="F5" i="3"/>
  <c r="E6" i="3"/>
  <c r="F6" i="3"/>
  <c r="J6" i="3" s="1"/>
  <c r="E8" i="3"/>
  <c r="F8" i="3"/>
  <c r="E9" i="3"/>
  <c r="F9" i="3"/>
  <c r="E10" i="3"/>
  <c r="F10" i="3"/>
  <c r="E11" i="3"/>
  <c r="F11" i="3"/>
  <c r="J11" i="3" s="1"/>
  <c r="E12" i="3"/>
  <c r="F12" i="3"/>
  <c r="J12" i="3" s="1"/>
  <c r="E13" i="3"/>
  <c r="F13" i="3"/>
  <c r="J13" i="3" s="1"/>
  <c r="E14" i="3"/>
  <c r="F14" i="3"/>
  <c r="G10" i="3" l="1"/>
  <c r="G7" i="3"/>
  <c r="J9" i="3"/>
  <c r="G6" i="3"/>
  <c r="G12" i="3"/>
  <c r="J10" i="3"/>
  <c r="J8" i="3"/>
  <c r="G13" i="3"/>
  <c r="G11" i="3"/>
  <c r="G5" i="3"/>
  <c r="J4" i="3"/>
  <c r="J3" i="3"/>
  <c r="G14" i="3"/>
  <c r="J14" i="3"/>
  <c r="J5" i="3"/>
  <c r="G4" i="3"/>
  <c r="G8" i="3"/>
  <c r="G9" i="3"/>
  <c r="P6" i="3"/>
  <c r="P7" i="3"/>
  <c r="P9" i="3"/>
  <c r="P14" i="3"/>
  <c r="P10" i="3"/>
  <c r="P11" i="3"/>
  <c r="P3" i="3"/>
  <c r="J12" i="2"/>
  <c r="B10" i="3"/>
  <c r="K8" i="2"/>
  <c r="P4" i="3"/>
  <c r="P5" i="3"/>
  <c r="P8" i="3"/>
  <c r="P12" i="3"/>
  <c r="P13" i="3"/>
  <c r="M22" i="5" l="1"/>
  <c r="Q14" i="5"/>
  <c r="B9" i="3"/>
  <c r="S7" i="3"/>
  <c r="S5" i="3"/>
  <c r="S13" i="3"/>
  <c r="S4" i="3"/>
  <c r="S8" i="3"/>
  <c r="S9" i="3"/>
  <c r="S10" i="3"/>
  <c r="S11" i="3"/>
  <c r="S12" i="3"/>
  <c r="S6" i="3"/>
  <c r="S14" i="3"/>
  <c r="S3" i="3"/>
  <c r="M7" i="3"/>
  <c r="M5" i="3"/>
  <c r="M13" i="3"/>
  <c r="M4" i="3"/>
  <c r="M8" i="3"/>
  <c r="M9" i="3"/>
  <c r="M10" i="3"/>
  <c r="M11" i="3"/>
  <c r="M12" i="3"/>
  <c r="M6" i="3"/>
  <c r="M14" i="3"/>
  <c r="M3" i="3"/>
  <c r="Q13" i="5" l="1"/>
  <c r="B11" i="3"/>
  <c r="L22" i="5" s="1"/>
  <c r="L7" i="3"/>
  <c r="L5" i="3"/>
  <c r="L13" i="3"/>
  <c r="L4" i="3"/>
  <c r="L8" i="3"/>
  <c r="L9" i="3"/>
  <c r="L10" i="3"/>
  <c r="L11" i="3"/>
  <c r="L12" i="3"/>
  <c r="L6" i="3"/>
  <c r="L14" i="3"/>
  <c r="L3" i="3"/>
  <c r="R7" i="3"/>
  <c r="R5" i="3"/>
  <c r="R13" i="3"/>
  <c r="R4" i="3"/>
  <c r="R8" i="3"/>
  <c r="R9" i="3"/>
  <c r="R10" i="3"/>
  <c r="R11" i="3"/>
  <c r="R12" i="3"/>
  <c r="R6" i="3"/>
  <c r="R14" i="3"/>
  <c r="R3" i="3"/>
  <c r="I2" i="2" l="1"/>
  <c r="H10" i="2" s="1"/>
  <c r="C28" i="5"/>
  <c r="C27" i="5"/>
  <c r="C26" i="5"/>
  <c r="C25" i="5"/>
  <c r="Q12" i="5"/>
  <c r="Q11" i="5"/>
  <c r="Q10" i="5"/>
  <c r="L6" i="5"/>
  <c r="M16" i="5"/>
  <c r="L17" i="5"/>
  <c r="L7" i="5"/>
  <c r="L14" i="5"/>
  <c r="M14" i="5"/>
  <c r="L8" i="5"/>
  <c r="M7" i="5"/>
  <c r="M13" i="5"/>
  <c r="M12" i="5"/>
  <c r="L15" i="5"/>
  <c r="L13" i="5"/>
  <c r="M8" i="5"/>
  <c r="M6" i="5"/>
  <c r="M15" i="5"/>
  <c r="M17" i="5"/>
  <c r="L10" i="5"/>
  <c r="L9" i="5"/>
  <c r="L12" i="5"/>
  <c r="L16" i="5"/>
  <c r="M9" i="5"/>
  <c r="M11" i="5"/>
  <c r="L11" i="5"/>
  <c r="M10" i="5"/>
  <c r="C2" i="2"/>
  <c r="F20" i="5" l="1"/>
  <c r="F19" i="5"/>
  <c r="F21" i="5" l="1"/>
</calcChain>
</file>

<file path=xl/sharedStrings.xml><?xml version="1.0" encoding="utf-8"?>
<sst xmlns="http://schemas.openxmlformats.org/spreadsheetml/2006/main" count="135" uniqueCount="91">
  <si>
    <t>CashOnHand:</t>
  </si>
  <si>
    <t>Central Park</t>
  </si>
  <si>
    <t>Bryant Park</t>
  </si>
  <si>
    <t>Riverside Park</t>
  </si>
  <si>
    <t>Union Sq Park</t>
  </si>
  <si>
    <t>Washington Sq Park</t>
  </si>
  <si>
    <t>Madison Sq Park</t>
  </si>
  <si>
    <t>The High Line</t>
  </si>
  <si>
    <t>Eggs</t>
  </si>
  <si>
    <t>Honey</t>
  </si>
  <si>
    <t>Strawberries</t>
  </si>
  <si>
    <t>Tomatoes</t>
  </si>
  <si>
    <t>Cucumber</t>
  </si>
  <si>
    <t>Okra</t>
  </si>
  <si>
    <t>Corn</t>
  </si>
  <si>
    <t>Onion</t>
  </si>
  <si>
    <t>Quince</t>
  </si>
  <si>
    <t>Rhubarb</t>
  </si>
  <si>
    <t>Papaya</t>
  </si>
  <si>
    <t>Packaging</t>
  </si>
  <si>
    <t>Dozen</t>
  </si>
  <si>
    <t>Jar</t>
  </si>
  <si>
    <t>Pint</t>
  </si>
  <si>
    <t>Basket</t>
  </si>
  <si>
    <t>Blueberries</t>
  </si>
  <si>
    <t>Money:</t>
  </si>
  <si>
    <t>Current Location:</t>
  </si>
  <si>
    <t>CurrentLocation:</t>
  </si>
  <si>
    <t>Battery Park</t>
  </si>
  <si>
    <t>Price</t>
  </si>
  <si>
    <t>Price Modification</t>
  </si>
  <si>
    <t>+/-</t>
  </si>
  <si>
    <t>MidPoint</t>
  </si>
  <si>
    <t>Variance</t>
  </si>
  <si>
    <t>Max</t>
  </si>
  <si>
    <t>Min</t>
  </si>
  <si>
    <t>Products Available</t>
  </si>
  <si>
    <t>Product</t>
  </si>
  <si>
    <t>Day:</t>
  </si>
  <si>
    <t>DayProgress:</t>
  </si>
  <si>
    <t>Message:</t>
  </si>
  <si>
    <t>Message1:</t>
  </si>
  <si>
    <t>Message2:</t>
  </si>
  <si>
    <t>Message3:</t>
  </si>
  <si>
    <t>Products Carried</t>
  </si>
  <si>
    <t>Avg Price</t>
  </si>
  <si>
    <t>Quantity</t>
  </si>
  <si>
    <t>Possible Locations</t>
  </si>
  <si>
    <t>Product Variables</t>
  </si>
  <si>
    <t>For Sale?</t>
  </si>
  <si>
    <t>Carried?</t>
  </si>
  <si>
    <t>AvailProd</t>
  </si>
  <si>
    <t>Buy Amount</t>
  </si>
  <si>
    <t>Sell Amount</t>
  </si>
  <si>
    <t>Total Value</t>
  </si>
  <si>
    <t>Purchase Total</t>
  </si>
  <si>
    <t>Sale Total</t>
  </si>
  <si>
    <t>Net Total</t>
  </si>
  <si>
    <t>Designed and Code by:</t>
  </si>
  <si>
    <t>Patrick Flatley</t>
  </si>
  <si>
    <t>paflatley@gmail.com</t>
  </si>
  <si>
    <t>InventoryValue:</t>
  </si>
  <si>
    <t>Overall</t>
  </si>
  <si>
    <t>Est. Net Worth:</t>
  </si>
  <si>
    <t>TotalVolumeCarried:</t>
  </si>
  <si>
    <t>TotalAvgValue:</t>
  </si>
  <si>
    <t>Welcome to Farmers Market! Try to get a high score by the end of Day 30</t>
  </si>
  <si>
    <t>Current Price</t>
  </si>
  <si>
    <t>Individual Variables</t>
  </si>
  <si>
    <t>Inventory Variables</t>
  </si>
  <si>
    <t>Location Variables</t>
  </si>
  <si>
    <t>Weather</t>
  </si>
  <si>
    <t>Rainy</t>
  </si>
  <si>
    <t>Stormy</t>
  </si>
  <si>
    <t>Sunny</t>
  </si>
  <si>
    <t>Cloudy</t>
  </si>
  <si>
    <t>Hot</t>
  </si>
  <si>
    <t>Cold</t>
  </si>
  <si>
    <t>Dry</t>
  </si>
  <si>
    <t>Wet</t>
  </si>
  <si>
    <t>Misc Variables</t>
  </si>
  <si>
    <t>Windy</t>
  </si>
  <si>
    <t>Humid</t>
  </si>
  <si>
    <t>Foggy</t>
  </si>
  <si>
    <t>Hail</t>
  </si>
  <si>
    <t>Sleet</t>
  </si>
  <si>
    <t>Mist</t>
  </si>
  <si>
    <t>Drought</t>
  </si>
  <si>
    <t>MaxCapacity:</t>
  </si>
  <si>
    <t>Capacity:</t>
  </si>
  <si>
    <t>Dump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</si>
</sst>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7" formatCode="&quot;$&quot;#,##0.00_);\(&quot;$&quot;#,##0.00\)"/>
    <numFmt numFmtId="8" formatCode="&quot;$&quot;#,##0.00_);[Red]\(&quot;$&quot;#,##0.00\)"/>
    <numFmt numFmtId="43" formatCode="_(* #,##0.00_);_(* \(#,##0.00\);_(* &quot;-&quot;??_);_(@_)"/>
    <numFmt numFmtId="164" formatCode="0;\-0;;@\ "/>
    <numFmt numFmtId="165" formatCode="&quot;$&quot;0.00;\-0;;@\ "/>
    <numFmt numFmtId="166" formatCode="&quot;$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ourier New"/>
      <family val="3"/>
    </font>
    <font>
      <sz val="11"/>
      <color theme="1"/>
      <name val="Courier New"/>
      <family val="3"/>
    </font>
    <font>
      <sz val="11"/>
      <color rgb="FFFFB000"/>
      <name val="Courier New"/>
      <family val="3"/>
    </font>
    <font>
      <b/>
      <sz val="11"/>
      <color rgb="FFFFB000"/>
      <name val="Courier New"/>
      <family val="3"/>
    </font>
    <font>
      <b/>
      <sz val="11"/>
      <name val="Courier New"/>
      <family val="3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B000"/>
        <bgColor indexed="64"/>
      </patternFill>
    </fill>
  </fills>
  <borders count="23">
    <border>
      <left/>
      <right/>
      <top/>
      <bottom/>
      <diagonal/>
    </border>
    <border>
      <left style="thin">
        <color rgb="FFFFB000"/>
      </left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/>
      <diagonal/>
    </border>
    <border>
      <left style="thick">
        <color rgb="FFFFB000"/>
      </left>
      <right/>
      <top style="thick">
        <color rgb="FFFFB000"/>
      </top>
      <bottom/>
      <diagonal/>
    </border>
    <border>
      <left/>
      <right/>
      <top style="thick">
        <color rgb="FFFFB000"/>
      </top>
      <bottom/>
      <diagonal/>
    </border>
    <border>
      <left/>
      <right style="thick">
        <color rgb="FFFFB000"/>
      </right>
      <top style="thick">
        <color rgb="FFFFB000"/>
      </top>
      <bottom/>
      <diagonal/>
    </border>
    <border>
      <left style="thick">
        <color rgb="FFFFB000"/>
      </left>
      <right/>
      <top/>
      <bottom/>
      <diagonal/>
    </border>
    <border>
      <left/>
      <right style="thick">
        <color rgb="FFFFB000"/>
      </right>
      <top/>
      <bottom/>
      <diagonal/>
    </border>
    <border>
      <left style="thick">
        <color rgb="FFFFB000"/>
      </left>
      <right/>
      <top/>
      <bottom style="thick">
        <color rgb="FFFFB000"/>
      </bottom>
      <diagonal/>
    </border>
    <border>
      <left/>
      <right/>
      <top/>
      <bottom style="thick">
        <color rgb="FFFFB000"/>
      </bottom>
      <diagonal/>
    </border>
    <border>
      <left/>
      <right style="thick">
        <color rgb="FFFFB000"/>
      </right>
      <top/>
      <bottom style="thick">
        <color rgb="FFFFB000"/>
      </bottom>
      <diagonal/>
    </border>
    <border>
      <left/>
      <right/>
      <top style="thick">
        <color rgb="FFFFB000"/>
      </top>
      <bottom style="thick">
        <color rgb="FFFFB000"/>
      </bottom>
      <diagonal/>
    </border>
    <border>
      <left style="thin">
        <color rgb="FFFFB000"/>
      </left>
      <right style="thin">
        <color rgb="FFFFB000"/>
      </right>
      <top/>
      <bottom/>
      <diagonal/>
    </border>
    <border>
      <left style="thin">
        <color rgb="FFFFB000"/>
      </left>
      <right style="thin">
        <color rgb="FFFFB000"/>
      </right>
      <top/>
      <bottom style="thin">
        <color rgb="FFFFB000"/>
      </bottom>
      <diagonal/>
    </border>
    <border>
      <left style="thin">
        <color rgb="FFFFB000"/>
      </left>
      <right/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 style="thin">
        <color rgb="FFFFB000"/>
      </bottom>
      <diagonal/>
    </border>
    <border>
      <left style="thin">
        <color rgb="FFFFB000"/>
      </left>
      <right/>
      <top/>
      <bottom/>
      <diagonal/>
    </border>
    <border>
      <left style="thin">
        <color rgb="FFFFB000"/>
      </left>
      <right/>
      <top style="thin">
        <color rgb="FFFFB000"/>
      </top>
      <bottom style="thin">
        <color rgb="FFFFB000"/>
      </bottom>
      <diagonal/>
    </border>
    <border>
      <left style="thick">
        <color rgb="FFFFB000"/>
      </left>
      <right/>
      <top style="thick">
        <color rgb="FFFFB000"/>
      </top>
      <bottom style="thin">
        <color rgb="FFFFB000"/>
      </bottom>
      <diagonal/>
    </border>
    <border>
      <left/>
      <right/>
      <top style="thick">
        <color rgb="FFFFB000"/>
      </top>
      <bottom style="thin">
        <color rgb="FFFFB000"/>
      </bottom>
      <diagonal/>
    </border>
    <border>
      <left/>
      <right style="thick">
        <color rgb="FFFFB000"/>
      </right>
      <top style="thick">
        <color rgb="FFFFB000"/>
      </top>
      <bottom style="thin">
        <color rgb="FFFFB00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67">
    <xf numFmtId="0" fontId="0" fillId="0" borderId="0" xfId="0"/>
    <xf numFmtId="0" fontId="2" fillId="3" borderId="0" xfId="0" applyFont="1" applyFill="1"/>
    <xf numFmtId="0" fontId="3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2" fontId="0" fillId="0" borderId="0" xfId="0" applyNumberFormat="1"/>
    <xf numFmtId="7" fontId="0" fillId="0" borderId="0" xfId="0" applyNumberFormat="1" applyAlignment="1">
      <alignment horizontal="center" vertical="center"/>
    </xf>
    <xf numFmtId="0" fontId="4" fillId="2" borderId="11" xfId="0" applyFont="1" applyFill="1" applyBorder="1"/>
    <xf numFmtId="0" fontId="4" fillId="2" borderId="7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right"/>
    </xf>
    <xf numFmtId="0" fontId="4" fillId="2" borderId="12" xfId="0" applyFont="1" applyFill="1" applyBorder="1" applyAlignment="1">
      <alignment horizontal="left"/>
    </xf>
    <xf numFmtId="164" fontId="4" fillId="2" borderId="12" xfId="0" applyNumberFormat="1" applyFont="1" applyFill="1" applyBorder="1" applyAlignment="1">
      <alignment horizontal="center"/>
    </xf>
    <xf numFmtId="165" fontId="4" fillId="2" borderId="12" xfId="0" applyNumberFormat="1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13" xfId="0" applyFont="1" applyFill="1" applyBorder="1" applyAlignment="1">
      <alignment horizontal="left"/>
    </xf>
    <xf numFmtId="165" fontId="4" fillId="2" borderId="13" xfId="0" applyNumberFormat="1" applyFont="1" applyFill="1" applyBorder="1" applyAlignment="1">
      <alignment horizontal="center"/>
    </xf>
    <xf numFmtId="164" fontId="4" fillId="2" borderId="13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166" fontId="4" fillId="2" borderId="7" xfId="1" applyNumberFormat="1" applyFont="1" applyFill="1" applyBorder="1" applyAlignment="1">
      <alignment horizontal="center" vertical="top"/>
    </xf>
    <xf numFmtId="164" fontId="4" fillId="2" borderId="12" xfId="0" applyNumberFormat="1" applyFont="1" applyFill="1" applyBorder="1" applyAlignment="1" applyProtection="1">
      <alignment horizontal="center"/>
      <protection locked="0"/>
    </xf>
    <xf numFmtId="164" fontId="4" fillId="2" borderId="13" xfId="0" applyNumberFormat="1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9" fillId="0" borderId="0" xfId="0" applyFont="1"/>
    <xf numFmtId="0" fontId="10" fillId="0" borderId="0" xfId="2" applyFont="1"/>
    <xf numFmtId="8" fontId="0" fillId="0" borderId="0" xfId="0" applyNumberFormat="1"/>
    <xf numFmtId="0" fontId="6" fillId="4" borderId="1" xfId="0" applyFont="1" applyFill="1" applyBorder="1" applyAlignment="1">
      <alignment horizontal="center" vertical="center"/>
    </xf>
    <xf numFmtId="166" fontId="6" fillId="4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164" fontId="4" fillId="2" borderId="8" xfId="0" applyNumberFormat="1" applyFont="1" applyFill="1" applyBorder="1" applyAlignment="1">
      <alignment horizontal="left"/>
    </xf>
    <xf numFmtId="164" fontId="4" fillId="2" borderId="9" xfId="0" applyNumberFormat="1" applyFont="1" applyFill="1" applyBorder="1" applyAlignment="1">
      <alignment horizontal="left"/>
    </xf>
    <xf numFmtId="164" fontId="4" fillId="2" borderId="10" xfId="0" applyNumberFormat="1" applyFont="1" applyFill="1" applyBorder="1" applyAlignment="1">
      <alignment horizontal="left"/>
    </xf>
    <xf numFmtId="164" fontId="4" fillId="2" borderId="6" xfId="0" applyNumberFormat="1" applyFont="1" applyFill="1" applyBorder="1" applyAlignment="1">
      <alignment horizontal="left"/>
    </xf>
    <xf numFmtId="164" fontId="4" fillId="2" borderId="0" xfId="0" applyNumberFormat="1" applyFont="1" applyFill="1" applyBorder="1" applyAlignment="1">
      <alignment horizontal="left"/>
    </xf>
    <xf numFmtId="164" fontId="4" fillId="2" borderId="7" xfId="0" applyNumberFormat="1" applyFont="1" applyFill="1" applyBorder="1" applyAlignment="1">
      <alignment horizontal="left"/>
    </xf>
    <xf numFmtId="164" fontId="5" fillId="2" borderId="20" xfId="0" applyNumberFormat="1" applyFont="1" applyFill="1" applyBorder="1" applyAlignment="1">
      <alignment horizontal="left"/>
    </xf>
    <xf numFmtId="164" fontId="5" fillId="2" borderId="21" xfId="0" applyNumberFormat="1" applyFont="1" applyFill="1" applyBorder="1" applyAlignment="1">
      <alignment horizontal="left"/>
    </xf>
    <xf numFmtId="164" fontId="5" fillId="2" borderId="22" xfId="0" applyNumberFormat="1" applyFont="1" applyFill="1" applyBorder="1" applyAlignment="1">
      <alignment horizontal="left"/>
    </xf>
    <xf numFmtId="0" fontId="6" fillId="4" borderId="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6" fillId="4" borderId="19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7" fontId="4" fillId="2" borderId="19" xfId="0" applyNumberFormat="1" applyFont="1" applyFill="1" applyBorder="1" applyAlignment="1">
      <alignment horizontal="center"/>
    </xf>
    <xf numFmtId="7" fontId="4" fillId="2" borderId="16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0" xfId="0" applyFont="1" applyAlignment="1">
      <alignment horizontal="center" wrapText="1"/>
    </xf>
    <xf numFmtId="0" fontId="11" fillId="0" borderId="0" xfId="0" applyFont="1"/>
    <xf numFmtId="0" fontId="11" fillId="0" borderId="0" xfId="0" applyFont="1" applyAlignment="1">
      <alignment horizontal="right"/>
    </xf>
    <xf numFmtId="0" fontId="11" fillId="0" borderId="0" xfId="0" quotePrefix="1" applyFont="1" applyAlignment="1">
      <alignment horizontal="right"/>
    </xf>
    <xf numFmtId="0" fontId="11" fillId="2" borderId="0" xfId="0" applyFont="1" applyFill="1"/>
  </cellXfs>
  <cellStyles count="3">
    <cellStyle name="Comma" xfId="1" builtinId="3"/>
    <cellStyle name="Hyperlink" xfId="2" builtinId="8"/>
    <cellStyle name="Normal" xfId="0" builtinId="0"/>
  </cellStyles>
  <dxfs count="1">
    <dxf>
      <font>
        <b/>
        <i val="0"/>
        <color theme="1"/>
      </font>
      <fill>
        <patternFill>
          <bgColor rgb="FFFFB000"/>
        </patternFill>
      </fill>
    </dxf>
  </dxfs>
  <tableStyles count="0" defaultTableStyle="TableStyleMedium2" defaultPivotStyle="PivotStyleLight16"/>
  <colors>
    <mruColors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6</xdr:row>
      <xdr:rowOff>0</xdr:rowOff>
    </xdr:from>
    <xdr:to>
      <xdr:col>17</xdr:col>
      <xdr:colOff>0</xdr:colOff>
      <xdr:row>7</xdr:row>
      <xdr:rowOff>0</xdr:rowOff>
    </xdr:to>
    <xdr:sp macro="[0]!MoveAre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477375" y="1333500"/>
          <a:ext cx="3162300" cy="190500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Change </a:t>
          </a:r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Location</a:t>
          </a:r>
        </a:p>
      </xdr:txBody>
    </xdr:sp>
    <xdr:clientData fLocksWithSheet="0"/>
  </xdr:twoCellAnchor>
  <xdr:twoCellAnchor>
    <xdr:from>
      <xdr:col>5</xdr:col>
      <xdr:colOff>0</xdr:colOff>
      <xdr:row>21</xdr:row>
      <xdr:rowOff>0</xdr:rowOff>
    </xdr:from>
    <xdr:to>
      <xdr:col>7</xdr:col>
      <xdr:colOff>0</xdr:colOff>
      <xdr:row>22</xdr:row>
      <xdr:rowOff>0</xdr:rowOff>
    </xdr:to>
    <xdr:sp macro="[0]!Execute_Transaction" textlink="">
      <xdr:nvSpPr>
        <xdr:cNvPr id="8" name="Rectangle 7">
          <a:extLst>
            <a:ext uri="{FF2B5EF4-FFF2-40B4-BE49-F238E27FC236}">
              <a16:creationId xmlns:a16="http://schemas.microsoft.com/office/drawing/2014/main" id="{543C1282-72B3-4A45-9901-7296F87394A0}"/>
            </a:ext>
          </a:extLst>
        </xdr:cNvPr>
        <xdr:cNvSpPr/>
      </xdr:nvSpPr>
      <xdr:spPr>
        <a:xfrm>
          <a:off x="4467225" y="4086225"/>
          <a:ext cx="2362200" cy="2000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Execute Transaction</a:t>
          </a:r>
          <a:endParaRPr lang="en-US" sz="1100" b="1" i="0" baseline="0">
            <a:solidFill>
              <a:sysClr val="windowText" lastClr="000000"/>
            </a:solidFill>
          </a:endParaRPr>
        </a:p>
      </xdr:txBody>
    </xdr:sp>
    <xdr:clientData fLocksWithSheet="0"/>
  </xdr:twoCellAnchor>
  <xdr:twoCellAnchor>
    <xdr:from>
      <xdr:col>15</xdr:col>
      <xdr:colOff>0</xdr:colOff>
      <xdr:row>29</xdr:row>
      <xdr:rowOff>0</xdr:rowOff>
    </xdr:from>
    <xdr:to>
      <xdr:col>17</xdr:col>
      <xdr:colOff>0</xdr:colOff>
      <xdr:row>30</xdr:row>
      <xdr:rowOff>0</xdr:rowOff>
    </xdr:to>
    <xdr:sp macro="[0]!Reset" textlink="">
      <xdr:nvSpPr>
        <xdr:cNvPr id="9" name="Rectangle 8">
          <a:extLst>
            <a:ext uri="{FF2B5EF4-FFF2-40B4-BE49-F238E27FC236}">
              <a16:creationId xmlns:a16="http://schemas.microsoft.com/office/drawing/2014/main" id="{B81EC817-CFFB-4D46-ABDA-AAFF9DEE9D3C}"/>
            </a:ext>
          </a:extLst>
        </xdr:cNvPr>
        <xdr:cNvSpPr/>
      </xdr:nvSpPr>
      <xdr:spPr>
        <a:xfrm>
          <a:off x="8124825" y="5734050"/>
          <a:ext cx="3228975" cy="190500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New Game</a:t>
          </a:r>
          <a:endParaRPr lang="en-US" sz="1100" b="1" i="0" baseline="0">
            <a:solidFill>
              <a:sysClr val="windowText" lastClr="000000"/>
            </a:solidFill>
          </a:endParaRP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9525</xdr:rowOff>
    </xdr:from>
    <xdr:to>
      <xdr:col>1</xdr:col>
      <xdr:colOff>285750</xdr:colOff>
      <xdr:row>5</xdr:row>
      <xdr:rowOff>0</xdr:rowOff>
    </xdr:to>
    <xdr:sp macro="" textlink="">
      <xdr:nvSpPr>
        <xdr:cNvPr id="2049" name="SubCash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285750</xdr:colOff>
      <xdr:row>2</xdr:row>
      <xdr:rowOff>180975</xdr:rowOff>
    </xdr:to>
    <xdr:sp macro="" textlink="">
      <xdr:nvSpPr>
        <xdr:cNvPr id="2050" name="AddCash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219075</xdr:colOff>
      <xdr:row>7</xdr:row>
      <xdr:rowOff>104775</xdr:rowOff>
    </xdr:from>
    <xdr:to>
      <xdr:col>5</xdr:col>
      <xdr:colOff>142875</xdr:colOff>
      <xdr:row>9</xdr:row>
      <xdr:rowOff>114300</xdr:rowOff>
    </xdr:to>
    <xdr:sp macro="" textlink="">
      <xdr:nvSpPr>
        <xdr:cNvPr id="2053" name="Loc_Change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3</xdr:row>
      <xdr:rowOff>9525</xdr:rowOff>
    </xdr:from>
    <xdr:to>
      <xdr:col>1</xdr:col>
      <xdr:colOff>285750</xdr:colOff>
      <xdr:row>5</xdr:row>
      <xdr:rowOff>0</xdr:rowOff>
    </xdr:to>
    <xdr:pic>
      <xdr:nvPicPr>
        <xdr:cNvPr id="2" name="SubCash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81025"/>
          <a:ext cx="28575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285750</xdr:colOff>
      <xdr:row>2</xdr:row>
      <xdr:rowOff>180975</xdr:rowOff>
    </xdr:to>
    <xdr:pic>
      <xdr:nvPicPr>
        <xdr:cNvPr id="3" name="AddCa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8575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104775</xdr:rowOff>
    </xdr:from>
    <xdr:to>
      <xdr:col>5</xdr:col>
      <xdr:colOff>142875</xdr:colOff>
      <xdr:row>9</xdr:row>
      <xdr:rowOff>114300</xdr:rowOff>
    </xdr:to>
    <xdr:pic>
      <xdr:nvPicPr>
        <xdr:cNvPr id="4" name="Loc_Chang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1438275"/>
          <a:ext cx="1752600" cy="390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paflatley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O30"/>
  <sheetViews>
    <sheetView tabSelected="1" workbookViewId="0">
      <selection activeCell="K22" sqref="K22"/>
    </sheetView>
  </sheetViews>
  <sheetFormatPr defaultColWidth="0" defaultRowHeight="15" zeroHeight="1" x14ac:dyDescent="0.25"/>
  <cols>
    <col min="1" max="3" width="2.85546875" style="2" customWidth="1"/>
    <col min="4" max="4" width="17.7109375" style="2" customWidth="1"/>
    <col min="5" max="5" width="10.7109375" style="2" customWidth="1"/>
    <col min="6" max="6" width="14.28515625" style="2" bestFit="1" customWidth="1"/>
    <col min="7" max="7" width="15.7109375" style="2" customWidth="1"/>
    <col min="8" max="9" width="2.85546875" style="2" customWidth="1"/>
    <col min="10" max="10" width="10.7109375" style="2" customWidth="1"/>
    <col min="11" max="11" width="17.7109375" style="2" customWidth="1"/>
    <col min="12" max="13" width="12.85546875" style="2" bestFit="1" customWidth="1"/>
    <col min="14" max="15" width="2.85546875" style="2" customWidth="1"/>
    <col min="16" max="16" width="23.5703125" style="2" bestFit="1" customWidth="1"/>
    <col min="17" max="17" width="24.85546875" style="2" bestFit="1" customWidth="1"/>
    <col min="18" max="19" width="2.85546875" style="2" customWidth="1"/>
    <col min="20" max="67" width="0" style="2" hidden="1" customWidth="1"/>
    <col min="68" max="16384" width="2.85546875" style="2" hidden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75" thickBot="1" x14ac:dyDescent="0.3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1"/>
    </row>
    <row r="3" spans="1:19" ht="15.75" thickTop="1" x14ac:dyDescent="0.25">
      <c r="A3" s="1"/>
      <c r="B3" s="3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3"/>
      <c r="P3" s="20" t="s">
        <v>28</v>
      </c>
      <c r="Q3" s="20" t="s">
        <v>3</v>
      </c>
      <c r="R3" s="3"/>
      <c r="S3" s="1"/>
    </row>
    <row r="4" spans="1:19" ht="15.75" customHeight="1" x14ac:dyDescent="0.3">
      <c r="A4" s="1"/>
      <c r="B4" s="3"/>
      <c r="C4" s="8"/>
      <c r="D4" s="37" t="s">
        <v>36</v>
      </c>
      <c r="E4" s="38"/>
      <c r="F4" s="50" t="s">
        <v>52</v>
      </c>
      <c r="G4" s="51" t="s">
        <v>53</v>
      </c>
      <c r="H4" s="4"/>
      <c r="I4" s="4"/>
      <c r="J4" s="51" t="s">
        <v>90</v>
      </c>
      <c r="K4" s="37" t="s">
        <v>44</v>
      </c>
      <c r="L4" s="48"/>
      <c r="M4" s="38"/>
      <c r="N4" s="9"/>
      <c r="O4" s="3"/>
      <c r="P4" s="20" t="s">
        <v>2</v>
      </c>
      <c r="Q4" s="20" t="s">
        <v>7</v>
      </c>
      <c r="R4" s="3"/>
      <c r="S4" s="1"/>
    </row>
    <row r="5" spans="1:19" ht="15.75" x14ac:dyDescent="0.3">
      <c r="A5" s="1"/>
      <c r="B5" s="3"/>
      <c r="C5" s="8"/>
      <c r="D5" s="24" t="s">
        <v>37</v>
      </c>
      <c r="E5" s="25" t="s">
        <v>29</v>
      </c>
      <c r="F5" s="50"/>
      <c r="G5" s="51"/>
      <c r="H5" s="4"/>
      <c r="I5" s="4"/>
      <c r="J5" s="51"/>
      <c r="K5" s="24" t="s">
        <v>37</v>
      </c>
      <c r="L5" s="25" t="s">
        <v>45</v>
      </c>
      <c r="M5" s="25" t="s">
        <v>46</v>
      </c>
      <c r="N5" s="9"/>
      <c r="O5" s="3"/>
      <c r="P5" s="20" t="s">
        <v>1</v>
      </c>
      <c r="Q5" s="20" t="s">
        <v>4</v>
      </c>
      <c r="R5" s="3"/>
      <c r="S5" s="1"/>
    </row>
    <row r="6" spans="1:19" x14ac:dyDescent="0.25">
      <c r="A6" s="1"/>
      <c r="B6" s="3"/>
      <c r="C6" s="8"/>
      <c r="D6" s="17" t="s">
        <v>14</v>
      </c>
      <c r="E6" s="19">
        <v>1.4972737309025985</v>
      </c>
      <c r="F6" s="27"/>
      <c r="G6" s="27"/>
      <c r="H6" s="4"/>
      <c r="I6" s="4"/>
      <c r="J6" s="27"/>
      <c r="K6" s="17"/>
      <c r="L6" s="19">
        <f>IFERROR(AvgPurchasePrice(K6),)</f>
        <v>0</v>
      </c>
      <c r="M6" s="18">
        <f>IFERROR(CarriedQuantity(K6),)</f>
        <v>0</v>
      </c>
      <c r="N6" s="9"/>
      <c r="O6" s="3"/>
      <c r="P6" s="20" t="s">
        <v>6</v>
      </c>
      <c r="Q6" s="20" t="s">
        <v>5</v>
      </c>
      <c r="R6" s="3"/>
      <c r="S6" s="1"/>
    </row>
    <row r="7" spans="1:19" x14ac:dyDescent="0.25">
      <c r="A7" s="1"/>
      <c r="B7" s="3"/>
      <c r="C7" s="8"/>
      <c r="D7" s="17" t="s">
        <v>8</v>
      </c>
      <c r="E7" s="19">
        <v>120.92535550503821</v>
      </c>
      <c r="F7" s="27"/>
      <c r="G7" s="27"/>
      <c r="H7" s="4"/>
      <c r="I7" s="4"/>
      <c r="J7" s="27"/>
      <c r="K7" s="17"/>
      <c r="L7" s="19">
        <f t="shared" ref="L7:L17" si="0">IFERROR(AvgPurchasePrice(K7),)</f>
        <v>0</v>
      </c>
      <c r="M7" s="18">
        <f t="shared" ref="M7:M17" si="1">IFERROR(CarriedQuantity(K7),)</f>
        <v>0</v>
      </c>
      <c r="N7" s="9"/>
      <c r="O7" s="3"/>
      <c r="P7" s="29"/>
      <c r="Q7" s="29"/>
      <c r="R7" s="3"/>
      <c r="S7" s="1"/>
    </row>
    <row r="8" spans="1:19" ht="15.75" thickBot="1" x14ac:dyDescent="0.3">
      <c r="A8" s="1"/>
      <c r="B8" s="3"/>
      <c r="C8" s="8"/>
      <c r="D8" s="17" t="s">
        <v>13</v>
      </c>
      <c r="E8" s="19">
        <v>36.234867865903702</v>
      </c>
      <c r="F8" s="27"/>
      <c r="G8" s="27"/>
      <c r="H8" s="4"/>
      <c r="I8" s="4"/>
      <c r="J8" s="27"/>
      <c r="K8" s="17"/>
      <c r="L8" s="19">
        <f t="shared" si="0"/>
        <v>0</v>
      </c>
      <c r="M8" s="18">
        <f t="shared" si="1"/>
        <v>0</v>
      </c>
      <c r="N8" s="9"/>
      <c r="O8" s="3"/>
      <c r="P8" s="3"/>
      <c r="Q8" s="3"/>
      <c r="R8" s="3"/>
      <c r="S8" s="1"/>
    </row>
    <row r="9" spans="1:19" ht="15.75" thickTop="1" x14ac:dyDescent="0.25">
      <c r="A9" s="1"/>
      <c r="B9" s="3"/>
      <c r="C9" s="8"/>
      <c r="D9" s="17" t="s">
        <v>15</v>
      </c>
      <c r="E9" s="19">
        <v>11.85697820793238</v>
      </c>
      <c r="F9" s="27"/>
      <c r="G9" s="27"/>
      <c r="H9" s="4"/>
      <c r="I9" s="4"/>
      <c r="J9" s="27"/>
      <c r="K9" s="17"/>
      <c r="L9" s="19">
        <f t="shared" si="0"/>
        <v>0</v>
      </c>
      <c r="M9" s="18">
        <f t="shared" si="1"/>
        <v>0</v>
      </c>
      <c r="N9" s="9"/>
      <c r="O9" s="3"/>
      <c r="P9" s="5"/>
      <c r="Q9" s="7"/>
      <c r="R9" s="3"/>
      <c r="S9" s="1"/>
    </row>
    <row r="10" spans="1:19" ht="15.75" x14ac:dyDescent="0.3">
      <c r="A10" s="1"/>
      <c r="B10" s="3"/>
      <c r="C10" s="8"/>
      <c r="D10" s="17" t="s">
        <v>16</v>
      </c>
      <c r="E10" s="19">
        <v>4.5371269437958199</v>
      </c>
      <c r="F10" s="27"/>
      <c r="G10" s="27"/>
      <c r="H10" s="4"/>
      <c r="I10" s="4"/>
      <c r="J10" s="27"/>
      <c r="K10" s="17"/>
      <c r="L10" s="19">
        <f t="shared" si="0"/>
        <v>0</v>
      </c>
      <c r="M10" s="18">
        <f t="shared" si="1"/>
        <v>0</v>
      </c>
      <c r="N10" s="9"/>
      <c r="O10" s="3"/>
      <c r="P10" s="16" t="s">
        <v>38</v>
      </c>
      <c r="Q10" s="15">
        <f>DayProgress</f>
        <v>1</v>
      </c>
      <c r="R10" s="3"/>
      <c r="S10" s="1"/>
    </row>
    <row r="11" spans="1:19" ht="15.75" x14ac:dyDescent="0.3">
      <c r="A11" s="1"/>
      <c r="B11" s="3"/>
      <c r="C11" s="8"/>
      <c r="D11" s="17" t="s">
        <v>17</v>
      </c>
      <c r="E11" s="19">
        <v>7.0774926407560379</v>
      </c>
      <c r="F11" s="27"/>
      <c r="G11" s="27"/>
      <c r="H11" s="4"/>
      <c r="I11" s="4"/>
      <c r="J11" s="27"/>
      <c r="K11" s="17"/>
      <c r="L11" s="19">
        <f t="shared" si="0"/>
        <v>0</v>
      </c>
      <c r="M11" s="18">
        <f t="shared" si="1"/>
        <v>0</v>
      </c>
      <c r="N11" s="9"/>
      <c r="O11" s="3"/>
      <c r="P11" s="16" t="s">
        <v>26</v>
      </c>
      <c r="Q11" s="15" t="str">
        <f>Location</f>
        <v>Central Park</v>
      </c>
      <c r="R11" s="3"/>
      <c r="S11" s="1"/>
    </row>
    <row r="12" spans="1:19" ht="15.75" x14ac:dyDescent="0.3">
      <c r="A12" s="1"/>
      <c r="B12" s="3"/>
      <c r="C12" s="8"/>
      <c r="D12" s="17" t="s">
        <v>10</v>
      </c>
      <c r="E12" s="19">
        <v>1.5734279674811149</v>
      </c>
      <c r="F12" s="27"/>
      <c r="G12" s="27"/>
      <c r="H12" s="4"/>
      <c r="I12" s="4"/>
      <c r="J12" s="27"/>
      <c r="K12" s="17"/>
      <c r="L12" s="19">
        <f t="shared" si="0"/>
        <v>0</v>
      </c>
      <c r="M12" s="18">
        <f t="shared" si="1"/>
        <v>0</v>
      </c>
      <c r="N12" s="9"/>
      <c r="O12" s="3"/>
      <c r="P12" s="16" t="s">
        <v>25</v>
      </c>
      <c r="Q12" s="26">
        <f>MoneyOnHandVariable</f>
        <v>1000</v>
      </c>
      <c r="R12" s="3"/>
      <c r="S12" s="1"/>
    </row>
    <row r="13" spans="1:19" ht="15.75" x14ac:dyDescent="0.3">
      <c r="A13" s="1"/>
      <c r="B13" s="3"/>
      <c r="C13" s="8"/>
      <c r="D13" s="17"/>
      <c r="E13" s="19"/>
      <c r="F13" s="27"/>
      <c r="G13" s="27"/>
      <c r="H13" s="4"/>
      <c r="I13" s="4"/>
      <c r="J13" s="27"/>
      <c r="K13" s="17"/>
      <c r="L13" s="19">
        <f t="shared" si="0"/>
        <v>0</v>
      </c>
      <c r="M13" s="18">
        <f t="shared" si="1"/>
        <v>0</v>
      </c>
      <c r="N13" s="9"/>
      <c r="O13" s="3"/>
      <c r="P13" s="16" t="s">
        <v>63</v>
      </c>
      <c r="Q13" s="26">
        <f>InventoryValue+MoneyOnHandVariable</f>
        <v>1000</v>
      </c>
      <c r="R13" s="3"/>
      <c r="S13" s="1"/>
    </row>
    <row r="14" spans="1:19" ht="15.75" x14ac:dyDescent="0.3">
      <c r="A14" s="1"/>
      <c r="B14" s="3"/>
      <c r="C14" s="8"/>
      <c r="D14" s="17"/>
      <c r="E14" s="19"/>
      <c r="F14" s="27"/>
      <c r="G14" s="27"/>
      <c r="H14" s="4"/>
      <c r="I14" s="4"/>
      <c r="J14" s="27"/>
      <c r="K14" s="17"/>
      <c r="L14" s="19">
        <f t="shared" si="0"/>
        <v>0</v>
      </c>
      <c r="M14" s="18">
        <f t="shared" si="1"/>
        <v>0</v>
      </c>
      <c r="N14" s="9"/>
      <c r="O14" s="3"/>
      <c r="P14" s="16" t="s">
        <v>89</v>
      </c>
      <c r="Q14" s="15" t="str">
        <f>TotalVolumeCarried &amp; "/" &amp; MaxCapacity</f>
        <v>0/100</v>
      </c>
      <c r="R14" s="3"/>
      <c r="S14" s="1"/>
    </row>
    <row r="15" spans="1:19" x14ac:dyDescent="0.25">
      <c r="A15" s="1"/>
      <c r="B15" s="3"/>
      <c r="C15" s="8"/>
      <c r="D15" s="17"/>
      <c r="E15" s="19"/>
      <c r="F15" s="27"/>
      <c r="G15" s="27"/>
      <c r="H15" s="4"/>
      <c r="I15" s="4"/>
      <c r="J15" s="27"/>
      <c r="K15" s="17"/>
      <c r="L15" s="19">
        <f t="shared" si="0"/>
        <v>0</v>
      </c>
      <c r="M15" s="18">
        <f t="shared" si="1"/>
        <v>0</v>
      </c>
      <c r="N15" s="9"/>
      <c r="O15" s="3"/>
      <c r="P15" s="8"/>
      <c r="Q15" s="9"/>
      <c r="R15" s="3"/>
      <c r="S15" s="1"/>
    </row>
    <row r="16" spans="1:19" x14ac:dyDescent="0.25">
      <c r="A16" s="1"/>
      <c r="B16" s="3"/>
      <c r="C16" s="8"/>
      <c r="D16" s="17"/>
      <c r="E16" s="19"/>
      <c r="F16" s="27"/>
      <c r="G16" s="27"/>
      <c r="H16" s="4"/>
      <c r="I16" s="4"/>
      <c r="J16" s="27"/>
      <c r="K16" s="17"/>
      <c r="L16" s="19">
        <f t="shared" si="0"/>
        <v>0</v>
      </c>
      <c r="M16" s="18">
        <f t="shared" si="1"/>
        <v>0</v>
      </c>
      <c r="N16" s="9"/>
      <c r="O16" s="3"/>
      <c r="P16" s="8"/>
      <c r="Q16" s="9"/>
      <c r="R16" s="3"/>
      <c r="S16" s="1"/>
    </row>
    <row r="17" spans="1:19" x14ac:dyDescent="0.25">
      <c r="A17" s="1"/>
      <c r="B17" s="3"/>
      <c r="C17" s="8"/>
      <c r="D17" s="21"/>
      <c r="E17" s="22"/>
      <c r="F17" s="28"/>
      <c r="G17" s="28"/>
      <c r="H17" s="4"/>
      <c r="I17" s="4"/>
      <c r="J17" s="28"/>
      <c r="K17" s="21"/>
      <c r="L17" s="22">
        <f t="shared" si="0"/>
        <v>0</v>
      </c>
      <c r="M17" s="23">
        <f t="shared" si="1"/>
        <v>0</v>
      </c>
      <c r="N17" s="9"/>
      <c r="O17" s="3"/>
      <c r="P17" s="8"/>
      <c r="Q17" s="9"/>
      <c r="R17" s="3"/>
      <c r="S17" s="1"/>
    </row>
    <row r="18" spans="1:19" ht="15.75" x14ac:dyDescent="0.3">
      <c r="A18" s="1"/>
      <c r="B18" s="3"/>
      <c r="C18" s="8"/>
      <c r="D18" s="54"/>
      <c r="E18" s="55"/>
      <c r="F18" s="55"/>
      <c r="G18" s="56"/>
      <c r="H18" s="4"/>
      <c r="I18" s="4"/>
      <c r="J18" s="27"/>
      <c r="K18" s="18"/>
      <c r="L18" s="18"/>
      <c r="M18" s="18"/>
      <c r="N18" s="9"/>
      <c r="O18" s="3"/>
      <c r="P18" s="8"/>
      <c r="Q18" s="9"/>
      <c r="R18" s="3"/>
      <c r="S18" s="1"/>
    </row>
    <row r="19" spans="1:19" ht="15.75" x14ac:dyDescent="0.25">
      <c r="A19" s="1"/>
      <c r="B19" s="3"/>
      <c r="C19" s="8"/>
      <c r="D19" s="57" t="s">
        <v>55</v>
      </c>
      <c r="E19" s="58"/>
      <c r="F19" s="59">
        <f>SUMPRODUCT(ProdAvailPrice,Buy_Amount)</f>
        <v>0</v>
      </c>
      <c r="G19" s="60"/>
      <c r="H19" s="4"/>
      <c r="I19" s="4"/>
      <c r="J19" s="27"/>
      <c r="K19" s="18"/>
      <c r="L19" s="18"/>
      <c r="M19" s="18"/>
      <c r="N19" s="9"/>
      <c r="O19" s="3"/>
      <c r="P19" s="8"/>
      <c r="Q19" s="9"/>
      <c r="R19" s="3"/>
      <c r="S19" s="1"/>
    </row>
    <row r="20" spans="1:19" ht="15.75" customHeight="1" x14ac:dyDescent="0.25">
      <c r="A20" s="1"/>
      <c r="B20" s="3"/>
      <c r="C20" s="8"/>
      <c r="D20" s="52" t="s">
        <v>56</v>
      </c>
      <c r="E20" s="53"/>
      <c r="F20" s="59">
        <f>SUMPRODUCT(ProdAvailPrice,Sell_Amount)</f>
        <v>0</v>
      </c>
      <c r="G20" s="60"/>
      <c r="H20" s="4"/>
      <c r="I20" s="4"/>
      <c r="J20" s="27"/>
      <c r="K20" s="18"/>
      <c r="L20" s="18"/>
      <c r="M20" s="18"/>
      <c r="N20" s="9"/>
      <c r="O20" s="3"/>
      <c r="P20" s="8"/>
      <c r="Q20" s="9"/>
      <c r="R20" s="3"/>
      <c r="S20" s="1"/>
    </row>
    <row r="21" spans="1:19" ht="15.75" customHeight="1" x14ac:dyDescent="0.25">
      <c r="A21" s="1"/>
      <c r="B21" s="3"/>
      <c r="C21" s="8"/>
      <c r="D21" s="57" t="s">
        <v>57</v>
      </c>
      <c r="E21" s="58"/>
      <c r="F21" s="59">
        <f>SUM(-Purchase_Total,Sale_Total)</f>
        <v>0</v>
      </c>
      <c r="G21" s="60"/>
      <c r="H21" s="4"/>
      <c r="I21" s="4"/>
      <c r="J21" s="27"/>
      <c r="K21" s="18"/>
      <c r="L21" s="18"/>
      <c r="M21" s="18"/>
      <c r="N21" s="9"/>
      <c r="O21" s="3"/>
      <c r="P21" s="8"/>
      <c r="Q21" s="9"/>
      <c r="R21" s="3"/>
      <c r="S21" s="1"/>
    </row>
    <row r="22" spans="1:19" ht="15.75" x14ac:dyDescent="0.3">
      <c r="A22" s="1"/>
      <c r="B22" s="3"/>
      <c r="C22" s="8"/>
      <c r="D22" s="49"/>
      <c r="E22" s="49"/>
      <c r="F22" s="4"/>
      <c r="G22" s="18"/>
      <c r="H22" s="4"/>
      <c r="I22" s="4"/>
      <c r="J22" s="33"/>
      <c r="K22" s="33" t="s">
        <v>62</v>
      </c>
      <c r="L22" s="34">
        <f>TotalAvgValue</f>
        <v>0</v>
      </c>
      <c r="M22" s="33">
        <f>TotalVolumeCarried</f>
        <v>0</v>
      </c>
      <c r="N22" s="9"/>
      <c r="O22" s="3"/>
      <c r="P22" s="8"/>
      <c r="Q22" s="9"/>
      <c r="R22" s="3"/>
      <c r="S22" s="1"/>
    </row>
    <row r="23" spans="1:19" ht="15.75" thickBot="1" x14ac:dyDescent="0.3">
      <c r="A23" s="1"/>
      <c r="B23" s="3"/>
      <c r="C23" s="8"/>
      <c r="D23" s="4"/>
      <c r="E23" s="4"/>
      <c r="F23" s="4"/>
      <c r="G23" s="4"/>
      <c r="H23" s="4"/>
      <c r="I23" s="4"/>
      <c r="J23" s="4"/>
      <c r="K23" s="4"/>
      <c r="L23" s="4"/>
      <c r="M23" s="4"/>
      <c r="N23" s="9"/>
      <c r="O23" s="3"/>
      <c r="P23" s="8"/>
      <c r="Q23" s="9"/>
      <c r="R23" s="3"/>
      <c r="S23" s="1"/>
    </row>
    <row r="24" spans="1:19" ht="16.5" thickTop="1" thickBot="1" x14ac:dyDescent="0.3">
      <c r="A24" s="1"/>
      <c r="B24" s="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3"/>
      <c r="P24" s="8"/>
      <c r="Q24" s="9"/>
      <c r="R24" s="3"/>
      <c r="S24" s="1"/>
    </row>
    <row r="25" spans="1:19" ht="16.5" thickTop="1" x14ac:dyDescent="0.3">
      <c r="A25" s="1"/>
      <c r="B25" s="3"/>
      <c r="C25" s="45" t="str">
        <f>"&gt; "&amp;Message</f>
        <v>&gt; Welcome to Farmers Market! Try to get a high score by the end of Day 30</v>
      </c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7"/>
      <c r="O25" s="3"/>
      <c r="P25" s="8"/>
      <c r="Q25" s="9"/>
      <c r="R25" s="3"/>
      <c r="S25" s="1"/>
    </row>
    <row r="26" spans="1:19" x14ac:dyDescent="0.25">
      <c r="A26" s="1"/>
      <c r="B26" s="3"/>
      <c r="C26" s="42">
        <f>Message1</f>
        <v>0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4"/>
      <c r="O26" s="3"/>
      <c r="P26" s="8"/>
      <c r="Q26" s="9"/>
      <c r="R26" s="3"/>
      <c r="S26" s="1"/>
    </row>
    <row r="27" spans="1:19" x14ac:dyDescent="0.25">
      <c r="A27" s="1"/>
      <c r="B27" s="3"/>
      <c r="C27" s="42">
        <f>Message2</f>
        <v>0</v>
      </c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4"/>
      <c r="O27" s="3"/>
      <c r="P27" s="8"/>
      <c r="Q27" s="9"/>
      <c r="R27" s="3"/>
      <c r="S27" s="1"/>
    </row>
    <row r="28" spans="1:19" ht="15.75" thickBot="1" x14ac:dyDescent="0.3">
      <c r="A28" s="1"/>
      <c r="B28" s="3"/>
      <c r="C28" s="39">
        <f>Message3</f>
        <v>0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1"/>
      <c r="O28" s="3"/>
      <c r="P28" s="10"/>
      <c r="Q28" s="11"/>
      <c r="R28" s="3"/>
      <c r="S28" s="1"/>
    </row>
    <row r="29" spans="1:19" ht="15.75" thickTop="1" x14ac:dyDescent="0.25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</sheetData>
  <sheetProtection selectLockedCells="1"/>
  <mergeCells count="17">
    <mergeCell ref="J4:J5"/>
    <mergeCell ref="D4:E4"/>
    <mergeCell ref="C28:N28"/>
    <mergeCell ref="C27:N27"/>
    <mergeCell ref="C26:N26"/>
    <mergeCell ref="C25:N25"/>
    <mergeCell ref="K4:M4"/>
    <mergeCell ref="D22:E22"/>
    <mergeCell ref="F4:F5"/>
    <mergeCell ref="G4:G5"/>
    <mergeCell ref="D20:E20"/>
    <mergeCell ref="D18:G18"/>
    <mergeCell ref="D19:E19"/>
    <mergeCell ref="F20:G20"/>
    <mergeCell ref="F19:G19"/>
    <mergeCell ref="D21:E21"/>
    <mergeCell ref="F21:G21"/>
  </mergeCells>
  <conditionalFormatting sqref="P3:Q6">
    <cfRule type="expression" dxfId="0" priority="1">
      <formula>P3=$Q$11</formula>
    </cfRule>
  </conditionalFormatting>
  <dataValidations count="1">
    <dataValidation type="whole" operator="greaterThanOrEqual" allowBlank="1" showErrorMessage="1" errorTitle="Invalid Entry" error="Please Enter A Positive Whole Number. " sqref="F6:G17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T16"/>
  <sheetViews>
    <sheetView workbookViewId="0">
      <selection activeCell="K10" sqref="K10"/>
    </sheetView>
  </sheetViews>
  <sheetFormatPr defaultRowHeight="15" x14ac:dyDescent="0.25"/>
  <sheetData>
    <row r="2" spans="3:20" x14ac:dyDescent="0.25">
      <c r="C2" t="e">
        <f ca="1">MoneyOnHand()</f>
        <v>#NAME?</v>
      </c>
      <c r="I2" t="str">
        <f>Location</f>
        <v>Central Park</v>
      </c>
    </row>
    <row r="4" spans="3:20" x14ac:dyDescent="0.25">
      <c r="O4" t="s">
        <v>54</v>
      </c>
      <c r="P4" t="s">
        <v>49</v>
      </c>
      <c r="Q4" t="s">
        <v>37</v>
      </c>
      <c r="S4" t="s">
        <v>51</v>
      </c>
    </row>
    <row r="5" spans="3:20" x14ac:dyDescent="0.25">
      <c r="O5">
        <v>699</v>
      </c>
      <c r="P5">
        <v>1</v>
      </c>
      <c r="Q5" t="s">
        <v>24</v>
      </c>
      <c r="S5">
        <v>1</v>
      </c>
    </row>
    <row r="6" spans="3:20" x14ac:dyDescent="0.25">
      <c r="O6">
        <v>33.199999999999996</v>
      </c>
      <c r="P6">
        <v>1</v>
      </c>
      <c r="Q6" t="s">
        <v>9</v>
      </c>
      <c r="S6">
        <v>1</v>
      </c>
    </row>
    <row r="7" spans="3:20" x14ac:dyDescent="0.25">
      <c r="O7">
        <v>0</v>
      </c>
      <c r="P7">
        <v>1</v>
      </c>
      <c r="Q7" t="s">
        <v>12</v>
      </c>
      <c r="S7">
        <v>1</v>
      </c>
    </row>
    <row r="8" spans="3:20" x14ac:dyDescent="0.25">
      <c r="K8">
        <f>SUM(Buy_Amount,Sell_Amount)</f>
        <v>0</v>
      </c>
      <c r="O8">
        <v>94</v>
      </c>
      <c r="P8">
        <v>0</v>
      </c>
      <c r="Q8" t="s">
        <v>10</v>
      </c>
      <c r="S8">
        <v>0</v>
      </c>
    </row>
    <row r="9" spans="3:20" x14ac:dyDescent="0.25">
      <c r="O9">
        <v>110.15</v>
      </c>
      <c r="P9">
        <v>0</v>
      </c>
      <c r="Q9" t="s">
        <v>14</v>
      </c>
      <c r="S9">
        <v>0</v>
      </c>
    </row>
    <row r="10" spans="3:20" x14ac:dyDescent="0.25">
      <c r="H10">
        <f>MATCH(I2,I1:I3,0)</f>
        <v>2</v>
      </c>
      <c r="O10">
        <v>0</v>
      </c>
      <c r="P10">
        <v>1</v>
      </c>
      <c r="Q10" t="s">
        <v>13</v>
      </c>
      <c r="S10">
        <v>1</v>
      </c>
    </row>
    <row r="11" spans="3:20" x14ac:dyDescent="0.25">
      <c r="O11">
        <v>0</v>
      </c>
      <c r="P11">
        <v>0</v>
      </c>
      <c r="Q11" t="s">
        <v>15</v>
      </c>
      <c r="S11" s="32">
        <v>0</v>
      </c>
    </row>
    <row r="12" spans="3:20" x14ac:dyDescent="0.25">
      <c r="J12">
        <f>INDEX(Prod_Value_Carried,MATCH("Corn",ProductList,0))</f>
        <v>0</v>
      </c>
      <c r="O12">
        <v>740.45999999999992</v>
      </c>
      <c r="P12">
        <v>1</v>
      </c>
      <c r="Q12" t="s">
        <v>18</v>
      </c>
      <c r="S12" s="32">
        <v>1</v>
      </c>
      <c r="T12" s="32"/>
    </row>
    <row r="13" spans="3:20" x14ac:dyDescent="0.25">
      <c r="O13">
        <v>173.91</v>
      </c>
      <c r="P13">
        <v>0</v>
      </c>
      <c r="Q13" t="s">
        <v>16</v>
      </c>
      <c r="S13">
        <v>0</v>
      </c>
    </row>
    <row r="14" spans="3:20" x14ac:dyDescent="0.25">
      <c r="O14">
        <v>0</v>
      </c>
      <c r="P14">
        <v>0</v>
      </c>
      <c r="Q14" t="s">
        <v>17</v>
      </c>
      <c r="S14" s="32">
        <v>0</v>
      </c>
    </row>
    <row r="15" spans="3:20" x14ac:dyDescent="0.25">
      <c r="O15">
        <v>464.20000000000005</v>
      </c>
      <c r="P15">
        <v>1</v>
      </c>
      <c r="Q15" t="s">
        <v>8</v>
      </c>
      <c r="S15" s="32">
        <v>1</v>
      </c>
    </row>
    <row r="16" spans="3:20" x14ac:dyDescent="0.25">
      <c r="O16">
        <v>30</v>
      </c>
      <c r="P16">
        <v>0</v>
      </c>
      <c r="Q16" t="s">
        <v>11</v>
      </c>
      <c r="S16" s="32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7"/>
  <sheetViews>
    <sheetView workbookViewId="0">
      <selection activeCell="O11" sqref="O11"/>
    </sheetView>
  </sheetViews>
  <sheetFormatPr defaultRowHeight="15" x14ac:dyDescent="0.25"/>
  <cols>
    <col min="1" max="1" width="19.7109375" bestFit="1" customWidth="1"/>
    <col min="2" max="2" width="27" customWidth="1"/>
    <col min="3" max="3" width="2.5703125" style="35" customWidth="1"/>
    <col min="4" max="4" width="12.28515625" bestFit="1" customWidth="1"/>
    <col min="5" max="6" width="7" bestFit="1" customWidth="1"/>
    <col min="7" max="7" width="8.7109375" bestFit="1" customWidth="1"/>
    <col min="9" max="9" width="6" bestFit="1" customWidth="1"/>
    <col min="10" max="10" width="12.5703125" bestFit="1" customWidth="1"/>
    <col min="11" max="11" width="9.7109375" bestFit="1" customWidth="1"/>
    <col min="12" max="12" width="9" bestFit="1" customWidth="1"/>
    <col min="13" max="13" width="12.28515625" bestFit="1" customWidth="1"/>
    <col min="14" max="14" width="2.5703125" style="35" customWidth="1"/>
    <col min="15" max="15" width="12" customWidth="1"/>
    <col min="16" max="16" width="12" bestFit="1" customWidth="1"/>
    <col min="17" max="17" width="8.7109375" bestFit="1" customWidth="1"/>
    <col min="18" max="18" width="8.42578125" bestFit="1" customWidth="1"/>
    <col min="19" max="19" width="12.28515625" bestFit="1" customWidth="1"/>
    <col min="20" max="20" width="2.5703125" style="35" customWidth="1"/>
    <col min="21" max="21" width="19.42578125" bestFit="1" customWidth="1"/>
    <col min="22" max="22" width="17.42578125" bestFit="1" customWidth="1"/>
    <col min="23" max="23" width="2.5703125" style="35" customWidth="1"/>
    <col min="25" max="25" width="8.7109375" bestFit="1" customWidth="1"/>
  </cols>
  <sheetData>
    <row r="1" spans="1:26" x14ac:dyDescent="0.25">
      <c r="A1" s="61" t="s">
        <v>68</v>
      </c>
      <c r="B1" s="61"/>
      <c r="C1" s="36"/>
      <c r="D1" s="61" t="s">
        <v>48</v>
      </c>
      <c r="E1" s="61"/>
      <c r="F1" s="61"/>
      <c r="G1" s="61"/>
      <c r="H1" s="61"/>
      <c r="I1" s="61"/>
      <c r="J1" s="61"/>
      <c r="K1" s="61"/>
      <c r="L1" s="61"/>
      <c r="M1" s="61"/>
      <c r="N1" s="36"/>
      <c r="O1" s="61" t="s">
        <v>69</v>
      </c>
      <c r="P1" s="61"/>
      <c r="Q1" s="61"/>
      <c r="R1" s="61"/>
      <c r="S1" s="61"/>
      <c r="T1" s="36"/>
      <c r="U1" s="61" t="s">
        <v>70</v>
      </c>
      <c r="V1" s="61"/>
      <c r="W1" s="36"/>
      <c r="X1" s="61" t="s">
        <v>80</v>
      </c>
      <c r="Y1" s="61"/>
      <c r="Z1" s="61"/>
    </row>
    <row r="2" spans="1:26" x14ac:dyDescent="0.25">
      <c r="A2" t="s">
        <v>0</v>
      </c>
      <c r="B2" s="13">
        <v>1000</v>
      </c>
      <c r="D2" s="63" t="s">
        <v>37</v>
      </c>
      <c r="E2" s="64" t="s">
        <v>35</v>
      </c>
      <c r="F2" s="64" t="s">
        <v>34</v>
      </c>
      <c r="G2" s="64" t="s">
        <v>33</v>
      </c>
      <c r="H2" s="64" t="s">
        <v>32</v>
      </c>
      <c r="I2" s="65" t="s">
        <v>31</v>
      </c>
      <c r="J2" s="65" t="s">
        <v>67</v>
      </c>
      <c r="K2" s="63" t="s">
        <v>19</v>
      </c>
      <c r="L2" s="64" t="s">
        <v>49</v>
      </c>
      <c r="M2" s="64" t="s">
        <v>37</v>
      </c>
      <c r="N2" s="66"/>
      <c r="O2" s="63" t="s">
        <v>54</v>
      </c>
      <c r="P2" s="63" t="s">
        <v>45</v>
      </c>
      <c r="Q2" s="63">
        <v>10</v>
      </c>
      <c r="R2" s="63" t="s">
        <v>50</v>
      </c>
      <c r="S2" s="64" t="s">
        <v>37</v>
      </c>
      <c r="T2" s="66"/>
      <c r="U2" s="63" t="s">
        <v>47</v>
      </c>
      <c r="V2" s="63" t="s">
        <v>30</v>
      </c>
      <c r="W2" s="66"/>
      <c r="X2" s="63" t="s">
        <v>71</v>
      </c>
    </row>
    <row r="3" spans="1:26" x14ac:dyDescent="0.25">
      <c r="A3" t="s">
        <v>27</v>
      </c>
      <c r="B3" s="13" t="s">
        <v>1</v>
      </c>
      <c r="D3" t="s">
        <v>24</v>
      </c>
      <c r="E3">
        <f t="shared" ref="E3:E14" si="0">H3-I3</f>
        <v>10</v>
      </c>
      <c r="F3">
        <f t="shared" ref="F3:F14" si="1">H3+I3</f>
        <v>44</v>
      </c>
      <c r="G3">
        <f>F3-E3</f>
        <v>34</v>
      </c>
      <c r="H3">
        <v>27</v>
      </c>
      <c r="I3">
        <v>17</v>
      </c>
      <c r="J3" s="12">
        <f ca="1">RANDBETWEEN(E3,F3)+RAND()</f>
        <v>25.383176092652768</v>
      </c>
      <c r="K3" t="s">
        <v>22</v>
      </c>
      <c r="L3">
        <f t="shared" ref="L3:L14" ca="1" si="2">RANDBETWEEN(0,1)</f>
        <v>1</v>
      </c>
      <c r="M3" t="str">
        <f t="shared" ref="M3:M14" si="3">D3</f>
        <v>Blueberries</v>
      </c>
      <c r="O3" s="32">
        <v>0</v>
      </c>
      <c r="P3">
        <f>IFERROR(O3/Q3,0)</f>
        <v>0</v>
      </c>
      <c r="Q3">
        <v>0</v>
      </c>
      <c r="R3">
        <f t="shared" ref="R3:R14" si="4">IF(Q3&gt;0,1,0)</f>
        <v>0</v>
      </c>
      <c r="S3" t="str">
        <f t="shared" ref="S3:S14" si="5">D3</f>
        <v>Blueberries</v>
      </c>
      <c r="U3" t="s">
        <v>28</v>
      </c>
      <c r="V3" s="12">
        <v>1</v>
      </c>
      <c r="X3" t="s">
        <v>72</v>
      </c>
    </row>
    <row r="4" spans="1:26" x14ac:dyDescent="0.25">
      <c r="A4" t="s">
        <v>39</v>
      </c>
      <c r="B4">
        <v>1</v>
      </c>
      <c r="D4" t="s">
        <v>14</v>
      </c>
      <c r="E4">
        <f t="shared" ref="E4" si="6">H4-I4</f>
        <v>0.10999999999999999</v>
      </c>
      <c r="F4">
        <f t="shared" ref="F4" si="7">H4+I4</f>
        <v>0.6</v>
      </c>
      <c r="G4">
        <f t="shared" ref="G4" si="8">F4-E4</f>
        <v>0.49</v>
      </c>
      <c r="H4">
        <v>0.35499999999999998</v>
      </c>
      <c r="I4">
        <v>0.245</v>
      </c>
      <c r="J4" s="12">
        <f t="shared" ref="J4" ca="1" si="9">RANDBETWEEN(E4,F4)+RAND()</f>
        <v>1.9621256436735517</v>
      </c>
      <c r="K4" t="s">
        <v>20</v>
      </c>
      <c r="L4">
        <f t="shared" ca="1" si="2"/>
        <v>1</v>
      </c>
      <c r="M4" t="str">
        <f t="shared" si="3"/>
        <v>Corn</v>
      </c>
      <c r="O4" s="32">
        <v>0</v>
      </c>
      <c r="P4">
        <f t="shared" ref="P4:P14" si="10">IFERROR(O4/Q4,0)</f>
        <v>0</v>
      </c>
      <c r="Q4">
        <v>0</v>
      </c>
      <c r="R4">
        <f t="shared" si="4"/>
        <v>0</v>
      </c>
      <c r="S4" t="str">
        <f t="shared" si="5"/>
        <v>Corn</v>
      </c>
      <c r="U4" t="s">
        <v>2</v>
      </c>
      <c r="V4" s="12">
        <v>1</v>
      </c>
      <c r="X4" t="s">
        <v>73</v>
      </c>
    </row>
    <row r="5" spans="1:26" x14ac:dyDescent="0.25">
      <c r="A5" t="s">
        <v>40</v>
      </c>
      <c r="B5" t="s">
        <v>66</v>
      </c>
      <c r="D5" t="s">
        <v>12</v>
      </c>
      <c r="E5">
        <f t="shared" si="0"/>
        <v>4.8000000000000007</v>
      </c>
      <c r="F5">
        <f t="shared" si="1"/>
        <v>12.8</v>
      </c>
      <c r="G5">
        <f t="shared" ref="G5:G14" si="11">F5-E5</f>
        <v>8</v>
      </c>
      <c r="H5">
        <v>8.8000000000000007</v>
      </c>
      <c r="I5">
        <v>4</v>
      </c>
      <c r="J5" s="12">
        <f t="shared" ref="J5:J14" ca="1" si="12">RANDBETWEEN(E5,F5)+RAND()</f>
        <v>11.91486822572851</v>
      </c>
      <c r="K5" t="s">
        <v>23</v>
      </c>
      <c r="L5">
        <f t="shared" ca="1" si="2"/>
        <v>1</v>
      </c>
      <c r="M5" t="str">
        <f t="shared" si="3"/>
        <v>Cucumber</v>
      </c>
      <c r="O5" s="32">
        <v>0</v>
      </c>
      <c r="P5">
        <f t="shared" si="10"/>
        <v>0</v>
      </c>
      <c r="Q5">
        <v>0</v>
      </c>
      <c r="R5">
        <f t="shared" si="4"/>
        <v>0</v>
      </c>
      <c r="S5" t="str">
        <f t="shared" si="5"/>
        <v>Cucumber</v>
      </c>
      <c r="U5" t="s">
        <v>1</v>
      </c>
      <c r="V5" s="12">
        <v>1</v>
      </c>
      <c r="X5" t="s">
        <v>74</v>
      </c>
    </row>
    <row r="6" spans="1:26" x14ac:dyDescent="0.25">
      <c r="A6" t="s">
        <v>41</v>
      </c>
      <c r="D6" t="s">
        <v>8</v>
      </c>
      <c r="E6">
        <f t="shared" si="0"/>
        <v>55</v>
      </c>
      <c r="F6">
        <f t="shared" si="1"/>
        <v>130</v>
      </c>
      <c r="G6">
        <f t="shared" si="11"/>
        <v>75</v>
      </c>
      <c r="H6">
        <v>92.5</v>
      </c>
      <c r="I6">
        <v>37.5</v>
      </c>
      <c r="J6" s="12">
        <f t="shared" ca="1" si="12"/>
        <v>121.50651843632814</v>
      </c>
      <c r="K6" t="s">
        <v>20</v>
      </c>
      <c r="L6">
        <f t="shared" ca="1" si="2"/>
        <v>0</v>
      </c>
      <c r="M6" t="str">
        <f t="shared" si="3"/>
        <v>Eggs</v>
      </c>
      <c r="O6" s="32">
        <v>0</v>
      </c>
      <c r="P6">
        <f t="shared" si="10"/>
        <v>0</v>
      </c>
      <c r="Q6">
        <v>0</v>
      </c>
      <c r="R6">
        <f t="shared" si="4"/>
        <v>0</v>
      </c>
      <c r="S6" t="str">
        <f t="shared" si="5"/>
        <v>Eggs</v>
      </c>
      <c r="U6" t="s">
        <v>6</v>
      </c>
      <c r="V6" s="12">
        <v>1</v>
      </c>
      <c r="X6" t="s">
        <v>75</v>
      </c>
    </row>
    <row r="7" spans="1:26" x14ac:dyDescent="0.25">
      <c r="A7" t="s">
        <v>42</v>
      </c>
      <c r="D7" t="s">
        <v>9</v>
      </c>
      <c r="E7">
        <f t="shared" ref="E7" si="13">H7-I7</f>
        <v>150</v>
      </c>
      <c r="F7">
        <f t="shared" ref="F7" si="14">H7+I7</f>
        <v>290</v>
      </c>
      <c r="G7">
        <f t="shared" ref="G7" si="15">F7-E7</f>
        <v>140</v>
      </c>
      <c r="H7">
        <v>220</v>
      </c>
      <c r="I7">
        <v>70</v>
      </c>
      <c r="J7" s="12">
        <f t="shared" ref="J7" ca="1" si="16">RANDBETWEEN(E7,F7)+RAND()</f>
        <v>234.9061727590805</v>
      </c>
      <c r="K7" t="s">
        <v>21</v>
      </c>
      <c r="L7">
        <f t="shared" ca="1" si="2"/>
        <v>1</v>
      </c>
      <c r="M7" t="str">
        <f t="shared" si="3"/>
        <v>Honey</v>
      </c>
      <c r="O7" s="32">
        <v>0</v>
      </c>
      <c r="P7">
        <f t="shared" si="10"/>
        <v>0</v>
      </c>
      <c r="Q7">
        <v>0</v>
      </c>
      <c r="R7">
        <f t="shared" si="4"/>
        <v>0</v>
      </c>
      <c r="S7" t="str">
        <f t="shared" si="5"/>
        <v>Honey</v>
      </c>
      <c r="U7" t="s">
        <v>3</v>
      </c>
      <c r="V7" s="12">
        <v>1</v>
      </c>
      <c r="X7" t="s">
        <v>76</v>
      </c>
    </row>
    <row r="8" spans="1:26" x14ac:dyDescent="0.25">
      <c r="A8" t="s">
        <v>43</v>
      </c>
      <c r="D8" t="s">
        <v>13</v>
      </c>
      <c r="E8">
        <f t="shared" si="0"/>
        <v>15</v>
      </c>
      <c r="F8">
        <f t="shared" si="1"/>
        <v>44</v>
      </c>
      <c r="G8">
        <f t="shared" si="11"/>
        <v>29</v>
      </c>
      <c r="H8">
        <v>29.5</v>
      </c>
      <c r="I8">
        <v>14.5</v>
      </c>
      <c r="J8" s="12">
        <f t="shared" ca="1" si="12"/>
        <v>40.787923975646152</v>
      </c>
      <c r="K8" t="s">
        <v>22</v>
      </c>
      <c r="L8">
        <f t="shared" ca="1" si="2"/>
        <v>1</v>
      </c>
      <c r="M8" t="str">
        <f t="shared" si="3"/>
        <v>Okra</v>
      </c>
      <c r="O8" s="32">
        <v>0</v>
      </c>
      <c r="P8">
        <f t="shared" si="10"/>
        <v>0</v>
      </c>
      <c r="Q8">
        <v>0</v>
      </c>
      <c r="R8">
        <f t="shared" si="4"/>
        <v>0</v>
      </c>
      <c r="S8" t="str">
        <f t="shared" si="5"/>
        <v>Okra</v>
      </c>
      <c r="U8" t="s">
        <v>7</v>
      </c>
      <c r="V8" s="12">
        <v>1</v>
      </c>
      <c r="X8" t="s">
        <v>77</v>
      </c>
    </row>
    <row r="9" spans="1:26" x14ac:dyDescent="0.25">
      <c r="A9" t="s">
        <v>61</v>
      </c>
      <c r="B9">
        <f>SUMPRODUCT(AvgPurchPrice,QuantityCarried)</f>
        <v>0</v>
      </c>
      <c r="D9" t="s">
        <v>15</v>
      </c>
      <c r="E9">
        <f t="shared" si="0"/>
        <v>5.3999999999999995</v>
      </c>
      <c r="F9">
        <f t="shared" si="1"/>
        <v>12.5</v>
      </c>
      <c r="G9">
        <f t="shared" si="11"/>
        <v>7.1000000000000005</v>
      </c>
      <c r="H9">
        <v>8.9499999999999993</v>
      </c>
      <c r="I9">
        <v>3.55</v>
      </c>
      <c r="J9" s="12">
        <f t="shared" ca="1" si="12"/>
        <v>6.204182139150614</v>
      </c>
      <c r="K9" t="s">
        <v>23</v>
      </c>
      <c r="L9">
        <f t="shared" ca="1" si="2"/>
        <v>1</v>
      </c>
      <c r="M9" t="str">
        <f t="shared" si="3"/>
        <v>Onion</v>
      </c>
      <c r="O9" s="32">
        <v>0</v>
      </c>
      <c r="P9">
        <f t="shared" si="10"/>
        <v>0</v>
      </c>
      <c r="Q9">
        <v>0</v>
      </c>
      <c r="R9">
        <f t="shared" si="4"/>
        <v>0</v>
      </c>
      <c r="S9" t="str">
        <f t="shared" si="5"/>
        <v>Onion</v>
      </c>
      <c r="U9" t="s">
        <v>4</v>
      </c>
      <c r="V9" s="12">
        <v>1</v>
      </c>
      <c r="X9" t="s">
        <v>78</v>
      </c>
    </row>
    <row r="10" spans="1:26" x14ac:dyDescent="0.25">
      <c r="A10" t="s">
        <v>64</v>
      </c>
      <c r="B10">
        <f>SUM(QuantityCarried)</f>
        <v>0</v>
      </c>
      <c r="D10" t="s">
        <v>18</v>
      </c>
      <c r="E10">
        <f t="shared" si="0"/>
        <v>10</v>
      </c>
      <c r="F10">
        <f t="shared" si="1"/>
        <v>25</v>
      </c>
      <c r="G10">
        <f t="shared" si="11"/>
        <v>15</v>
      </c>
      <c r="H10">
        <v>17.5</v>
      </c>
      <c r="I10">
        <v>7.5</v>
      </c>
      <c r="J10" s="12">
        <f t="shared" ca="1" si="12"/>
        <v>16.633889981196671</v>
      </c>
      <c r="K10" t="s">
        <v>23</v>
      </c>
      <c r="L10">
        <f t="shared" ca="1" si="2"/>
        <v>1</v>
      </c>
      <c r="M10" t="str">
        <f t="shared" si="3"/>
        <v>Papaya</v>
      </c>
      <c r="O10" s="32">
        <v>0</v>
      </c>
      <c r="P10">
        <f t="shared" si="10"/>
        <v>0</v>
      </c>
      <c r="Q10">
        <v>0</v>
      </c>
      <c r="R10">
        <f t="shared" si="4"/>
        <v>0</v>
      </c>
      <c r="S10" t="str">
        <f t="shared" si="5"/>
        <v>Papaya</v>
      </c>
      <c r="U10" t="s">
        <v>5</v>
      </c>
      <c r="V10" s="12">
        <v>1</v>
      </c>
      <c r="X10" t="s">
        <v>79</v>
      </c>
    </row>
    <row r="11" spans="1:26" x14ac:dyDescent="0.25">
      <c r="A11" t="s">
        <v>65</v>
      </c>
      <c r="B11">
        <f>IFERROR(InventoryValue/SUM(QuantityCarried),0)</f>
        <v>0</v>
      </c>
      <c r="D11" t="s">
        <v>16</v>
      </c>
      <c r="E11">
        <f t="shared" si="0"/>
        <v>2.1999999999999997</v>
      </c>
      <c r="F11">
        <f t="shared" si="1"/>
        <v>7</v>
      </c>
      <c r="G11">
        <f t="shared" si="11"/>
        <v>4.8000000000000007</v>
      </c>
      <c r="H11">
        <v>4.5999999999999996</v>
      </c>
      <c r="I11">
        <v>2.4</v>
      </c>
      <c r="J11" s="12">
        <f t="shared" ca="1" si="12"/>
        <v>6.5258637905798853</v>
      </c>
      <c r="K11" t="s">
        <v>23</v>
      </c>
      <c r="L11">
        <f t="shared" ca="1" si="2"/>
        <v>0</v>
      </c>
      <c r="M11" t="str">
        <f t="shared" si="3"/>
        <v>Quince</v>
      </c>
      <c r="O11" s="32">
        <v>0</v>
      </c>
      <c r="P11">
        <f t="shared" si="10"/>
        <v>0</v>
      </c>
      <c r="Q11">
        <v>0</v>
      </c>
      <c r="R11">
        <f t="shared" si="4"/>
        <v>0</v>
      </c>
      <c r="S11" t="str">
        <f t="shared" si="5"/>
        <v>Quince</v>
      </c>
      <c r="X11" t="s">
        <v>81</v>
      </c>
    </row>
    <row r="12" spans="1:26" x14ac:dyDescent="0.25">
      <c r="A12" t="s">
        <v>88</v>
      </c>
      <c r="B12">
        <v>100</v>
      </c>
      <c r="D12" t="s">
        <v>17</v>
      </c>
      <c r="E12">
        <f t="shared" si="0"/>
        <v>6.3000000000000007</v>
      </c>
      <c r="F12">
        <f t="shared" si="1"/>
        <v>13</v>
      </c>
      <c r="G12">
        <f t="shared" si="11"/>
        <v>6.6999999999999993</v>
      </c>
      <c r="H12">
        <v>9.65</v>
      </c>
      <c r="I12">
        <v>3.35</v>
      </c>
      <c r="J12" s="12">
        <f t="shared" ca="1" si="12"/>
        <v>8.3124560132001193</v>
      </c>
      <c r="K12" t="s">
        <v>23</v>
      </c>
      <c r="L12">
        <f t="shared" ca="1" si="2"/>
        <v>0</v>
      </c>
      <c r="M12" t="str">
        <f t="shared" si="3"/>
        <v>Rhubarb</v>
      </c>
      <c r="O12" s="32">
        <v>0</v>
      </c>
      <c r="P12">
        <f t="shared" si="10"/>
        <v>0</v>
      </c>
      <c r="Q12">
        <v>0</v>
      </c>
      <c r="R12">
        <f t="shared" si="4"/>
        <v>0</v>
      </c>
      <c r="S12" t="str">
        <f t="shared" si="5"/>
        <v>Rhubarb</v>
      </c>
      <c r="X12" t="s">
        <v>82</v>
      </c>
    </row>
    <row r="13" spans="1:26" x14ac:dyDescent="0.25">
      <c r="D13" t="s">
        <v>10</v>
      </c>
      <c r="E13">
        <f t="shared" si="0"/>
        <v>0.89999999999999991</v>
      </c>
      <c r="F13">
        <f t="shared" si="1"/>
        <v>2.5</v>
      </c>
      <c r="G13">
        <f t="shared" si="11"/>
        <v>1.6</v>
      </c>
      <c r="H13">
        <v>1.7</v>
      </c>
      <c r="I13">
        <v>0.8</v>
      </c>
      <c r="J13" s="12">
        <f t="shared" ca="1" si="12"/>
        <v>1.1204171925621096</v>
      </c>
      <c r="K13" t="s">
        <v>22</v>
      </c>
      <c r="L13">
        <f t="shared" ca="1" si="2"/>
        <v>0</v>
      </c>
      <c r="M13" t="str">
        <f t="shared" si="3"/>
        <v>Strawberries</v>
      </c>
      <c r="O13" s="32">
        <v>0</v>
      </c>
      <c r="P13">
        <f t="shared" si="10"/>
        <v>0</v>
      </c>
      <c r="Q13">
        <v>0</v>
      </c>
      <c r="R13">
        <f t="shared" si="4"/>
        <v>0</v>
      </c>
      <c r="S13" t="str">
        <f t="shared" si="5"/>
        <v>Strawberries</v>
      </c>
      <c r="X13" t="s">
        <v>83</v>
      </c>
    </row>
    <row r="14" spans="1:26" x14ac:dyDescent="0.25">
      <c r="D14" t="s">
        <v>11</v>
      </c>
      <c r="E14">
        <f t="shared" si="0"/>
        <v>3.1500000000000004</v>
      </c>
      <c r="F14">
        <f t="shared" si="1"/>
        <v>8.9</v>
      </c>
      <c r="G14">
        <f t="shared" si="11"/>
        <v>5.75</v>
      </c>
      <c r="H14">
        <v>6.0250000000000004</v>
      </c>
      <c r="I14">
        <v>2.875</v>
      </c>
      <c r="J14" s="12">
        <f t="shared" ca="1" si="12"/>
        <v>6.1530225848084603</v>
      </c>
      <c r="K14" t="s">
        <v>23</v>
      </c>
      <c r="L14">
        <f t="shared" ca="1" si="2"/>
        <v>1</v>
      </c>
      <c r="M14" t="str">
        <f t="shared" si="3"/>
        <v>Tomatoes</v>
      </c>
      <c r="O14" s="32">
        <v>0</v>
      </c>
      <c r="P14">
        <f t="shared" si="10"/>
        <v>0</v>
      </c>
      <c r="Q14">
        <v>0</v>
      </c>
      <c r="R14">
        <f t="shared" si="4"/>
        <v>0</v>
      </c>
      <c r="S14" t="str">
        <f t="shared" si="5"/>
        <v>Tomatoes</v>
      </c>
      <c r="X14" t="s">
        <v>84</v>
      </c>
    </row>
    <row r="15" spans="1:26" x14ac:dyDescent="0.25">
      <c r="X15" t="s">
        <v>85</v>
      </c>
    </row>
    <row r="16" spans="1:26" x14ac:dyDescent="0.25">
      <c r="X16" t="s">
        <v>87</v>
      </c>
    </row>
    <row r="17" spans="24:24" x14ac:dyDescent="0.25">
      <c r="X17" t="s">
        <v>86</v>
      </c>
    </row>
  </sheetData>
  <sortState ref="D3:S11">
    <sortCondition ref="S3"/>
  </sortState>
  <mergeCells count="5">
    <mergeCell ref="U1:V1"/>
    <mergeCell ref="O1:S1"/>
    <mergeCell ref="A1:B1"/>
    <mergeCell ref="D1:M1"/>
    <mergeCell ref="X1:Z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sqref="A1:A2"/>
    </sheetView>
  </sheetViews>
  <sheetFormatPr defaultColWidth="0" defaultRowHeight="15" zeroHeight="1" x14ac:dyDescent="0.25"/>
  <cols>
    <col min="1" max="1" width="22.42578125" customWidth="1"/>
    <col min="2" max="2" width="35.5703125" bestFit="1" customWidth="1"/>
    <col min="3" max="16384" width="9.140625" hidden="1"/>
  </cols>
  <sheetData>
    <row r="1" spans="1:2" ht="26.25" x14ac:dyDescent="0.4">
      <c r="A1" s="62" t="s">
        <v>58</v>
      </c>
      <c r="B1" s="30" t="s">
        <v>59</v>
      </c>
    </row>
    <row r="2" spans="1:2" ht="26.25" x14ac:dyDescent="0.4">
      <c r="A2" s="62"/>
      <c r="B2" s="31" t="s">
        <v>60</v>
      </c>
    </row>
  </sheetData>
  <mergeCells count="1">
    <mergeCell ref="A1:A2"/>
  </mergeCells>
  <hyperlinks>
    <hyperlink ref="B2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30</vt:i4>
      </vt:variant>
    </vt:vector>
  </HeadingPairs>
  <TitlesOfParts>
    <vt:vector size="33" baseType="lpstr">
      <vt:lpstr>Play_Area</vt:lpstr>
      <vt:lpstr>Test</vt:lpstr>
      <vt:lpstr>Var_Holder</vt:lpstr>
      <vt:lpstr>AvailableProducts</vt:lpstr>
      <vt:lpstr>AvgPurchPrice</vt:lpstr>
      <vt:lpstr>Buy_Amount</vt:lpstr>
      <vt:lpstr>DayProgress</vt:lpstr>
      <vt:lpstr>InventoryValue</vt:lpstr>
      <vt:lpstr>Location</vt:lpstr>
      <vt:lpstr>MaxCapacity</vt:lpstr>
      <vt:lpstr>Message</vt:lpstr>
      <vt:lpstr>Message1</vt:lpstr>
      <vt:lpstr>Message2</vt:lpstr>
      <vt:lpstr>Message3</vt:lpstr>
      <vt:lpstr>MoneyOnHandVariable</vt:lpstr>
      <vt:lpstr>Net_Total</vt:lpstr>
      <vt:lpstr>PossibleLocations</vt:lpstr>
      <vt:lpstr>PriceList</vt:lpstr>
      <vt:lpstr>PriceMod</vt:lpstr>
      <vt:lpstr>Prod_Available_Check</vt:lpstr>
      <vt:lpstr>Prod_Carried</vt:lpstr>
      <vt:lpstr>Prod_Carried_Check</vt:lpstr>
      <vt:lpstr>Prod_Value_Carried</vt:lpstr>
      <vt:lpstr>ProdAvailPrice</vt:lpstr>
      <vt:lpstr>ProductList</vt:lpstr>
      <vt:lpstr>Purchase_Total</vt:lpstr>
      <vt:lpstr>QuantityCarried</vt:lpstr>
      <vt:lpstr>Sale_Total</vt:lpstr>
      <vt:lpstr>Sell_Amount</vt:lpstr>
      <vt:lpstr>Test</vt:lpstr>
      <vt:lpstr>Test_Range</vt:lpstr>
      <vt:lpstr>TotalAvgValue</vt:lpstr>
      <vt:lpstr>TotalVolumeCarried</vt:lpstr>
    </vt:vector>
  </TitlesOfParts>
  <Company>Conde Nast Publications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Flatley, Patrick</dc:creator>
  <cp:lastModifiedBy>Flatley, Patrick</cp:lastModifiedBy>
  <dcterms:created xsi:type="dcterms:W3CDTF">2017-08-10T19:42:58Z</dcterms:created>
  <dcterms:modified xsi:type="dcterms:W3CDTF">2017-08-24T20:35:01Z</dcterms:modified>
</cp:coreProperties>
</file>