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flatley\Desktop\"/>
    </mc:Choice>
  </mc:AlternateContent>
  <bookViews>
    <workbookView xWindow="0" yWindow="0" windowWidth="25200" windowHeight="11910" activeTab="3"/>
  </bookViews>
  <sheets>
    <sheet name="Play_Area" sheetId="5" r:id="rId1"/>
    <sheet name="Test" sheetId="2" r:id="rId2"/>
    <sheet name="Var_Holder" sheetId="3" r:id="rId3"/>
    <sheet name="Scope" sheetId="6" r:id="rId4"/>
    <sheet name="Credits" sheetId="7" state="veryHidden" r:id="rId5"/>
  </sheets>
  <functionGroups builtInGroupCount="18"/>
  <definedNames>
    <definedName name="AvailableProducts">Play_Area!$D$6:$D$17</definedName>
    <definedName name="AvgPurchPrice">Var_Holder!$P$3:$P$14</definedName>
    <definedName name="Buy_Amount">Play_Area!$F$6:$F$17</definedName>
    <definedName name="DayProgress">Var_Holder!$B$4</definedName>
    <definedName name="InventoryValue">Var_Holder!$B$9</definedName>
    <definedName name="Location">Var_Holder!$B$3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Var_Holder!$U$3:$U$10</definedName>
    <definedName name="PriceList">Var_Holder!$J$3:$J$14</definedName>
    <definedName name="PriceMod">Var_Holder!$V$3:$V$10</definedName>
    <definedName name="Prod_Available_Check">Var_Holder!$L$3:$M$14</definedName>
    <definedName name="Prod_Carried">Play_Area!$K$6:$K$17</definedName>
    <definedName name="Prod_Carried_Check">Var_Holder!$R$3:$S$14</definedName>
    <definedName name="Prod_Value_Carried">Var_Holder!$O$3:$O$14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Var_Holder!$Q$3:$Q$14</definedName>
    <definedName name="Sale_Total">Play_Area!$F$20</definedName>
    <definedName name="Sell_Amount">Play_Area!$G$6:$G$17</definedName>
    <definedName name="Test">Test!$S$5:$S$16</definedName>
    <definedName name="Test_Range">Test!$P$5:$Q$16</definedName>
    <definedName name="TotalAvgValue">Var_Holder!$B$11</definedName>
    <definedName name="TotalVolumeCarried">Var_Holder!$B$10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E7" i="3"/>
  <c r="J7" i="3" s="1"/>
  <c r="F4" i="3"/>
  <c r="E4" i="3"/>
  <c r="E3" i="3"/>
  <c r="F3" i="3"/>
  <c r="G3" i="3" s="1"/>
  <c r="E5" i="3"/>
  <c r="F5" i="3"/>
  <c r="E6" i="3"/>
  <c r="F6" i="3"/>
  <c r="J6" i="3" s="1"/>
  <c r="E8" i="3"/>
  <c r="F8" i="3"/>
  <c r="E9" i="3"/>
  <c r="F9" i="3"/>
  <c r="E10" i="3"/>
  <c r="F10" i="3"/>
  <c r="E11" i="3"/>
  <c r="F11" i="3"/>
  <c r="J11" i="3" s="1"/>
  <c r="E12" i="3"/>
  <c r="F12" i="3"/>
  <c r="J12" i="3" s="1"/>
  <c r="E13" i="3"/>
  <c r="F13" i="3"/>
  <c r="J13" i="3" s="1"/>
  <c r="E14" i="3"/>
  <c r="F14" i="3"/>
  <c r="F17" i="6"/>
  <c r="F18" i="6"/>
  <c r="F19" i="6"/>
  <c r="F20" i="6"/>
  <c r="F21" i="6"/>
  <c r="F22" i="6"/>
  <c r="F23" i="6"/>
  <c r="F24" i="6"/>
  <c r="F25" i="6"/>
  <c r="F26" i="6"/>
  <c r="F27" i="6"/>
  <c r="F16" i="6"/>
  <c r="E17" i="6"/>
  <c r="E18" i="6"/>
  <c r="E19" i="6"/>
  <c r="E20" i="6"/>
  <c r="E21" i="6"/>
  <c r="E22" i="6"/>
  <c r="E23" i="6"/>
  <c r="E24" i="6"/>
  <c r="E25" i="6"/>
  <c r="E26" i="6"/>
  <c r="E27" i="6"/>
  <c r="E16" i="6"/>
  <c r="G10" i="3" l="1"/>
  <c r="G7" i="3"/>
  <c r="J9" i="3"/>
  <c r="G6" i="3"/>
  <c r="G12" i="3"/>
  <c r="J10" i="3"/>
  <c r="J8" i="3"/>
  <c r="G13" i="3"/>
  <c r="G11" i="3"/>
  <c r="G5" i="3"/>
  <c r="J4" i="3"/>
  <c r="J3" i="3"/>
  <c r="G14" i="3"/>
  <c r="J14" i="3"/>
  <c r="J5" i="3"/>
  <c r="G4" i="3"/>
  <c r="G8" i="3"/>
  <c r="G9" i="3"/>
  <c r="P6" i="3"/>
  <c r="P7" i="3"/>
  <c r="P9" i="3"/>
  <c r="P14" i="3"/>
  <c r="P10" i="3"/>
  <c r="P11" i="3"/>
  <c r="P3" i="3"/>
  <c r="J12" i="2"/>
  <c r="B10" i="3"/>
  <c r="M22" i="5" s="1"/>
  <c r="K8" i="2"/>
  <c r="P4" i="3"/>
  <c r="P5" i="3"/>
  <c r="P8" i="3"/>
  <c r="P12" i="3"/>
  <c r="P13" i="3"/>
  <c r="B9" i="3" l="1"/>
  <c r="S7" i="3"/>
  <c r="S5" i="3"/>
  <c r="S13" i="3"/>
  <c r="S4" i="3"/>
  <c r="S8" i="3"/>
  <c r="S9" i="3"/>
  <c r="S10" i="3"/>
  <c r="S11" i="3"/>
  <c r="S12" i="3"/>
  <c r="S6" i="3"/>
  <c r="S14" i="3"/>
  <c r="S3" i="3"/>
  <c r="M7" i="3"/>
  <c r="M5" i="3"/>
  <c r="M13" i="3"/>
  <c r="M4" i="3"/>
  <c r="M8" i="3"/>
  <c r="M9" i="3"/>
  <c r="M10" i="3"/>
  <c r="M11" i="3"/>
  <c r="M12" i="3"/>
  <c r="M6" i="3"/>
  <c r="M14" i="3"/>
  <c r="M3" i="3"/>
  <c r="Q13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R7" i="3"/>
  <c r="R5" i="3"/>
  <c r="R13" i="3"/>
  <c r="R4" i="3"/>
  <c r="R8" i="3"/>
  <c r="R9" i="3"/>
  <c r="R10" i="3"/>
  <c r="R11" i="3"/>
  <c r="R12" i="3"/>
  <c r="R6" i="3"/>
  <c r="R14" i="3"/>
  <c r="R3" i="3"/>
  <c r="C27" i="6" l="1"/>
  <c r="B27" i="6"/>
  <c r="C26" i="6"/>
  <c r="B26" i="6"/>
  <c r="C25" i="6"/>
  <c r="B25" i="6"/>
  <c r="C24" i="6"/>
  <c r="B24" i="6"/>
  <c r="C23" i="6"/>
  <c r="B23" i="6"/>
  <c r="C22" i="6"/>
  <c r="D22" i="6" s="1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D16" i="6" s="1"/>
  <c r="E13" i="6"/>
  <c r="D13" i="6"/>
  <c r="F13" i="6" s="1"/>
  <c r="D12" i="6"/>
  <c r="E12" i="6" s="1"/>
  <c r="D11" i="6"/>
  <c r="F11" i="6" s="1"/>
  <c r="D10" i="6"/>
  <c r="F10" i="6" s="1"/>
  <c r="E9" i="6"/>
  <c r="D9" i="6"/>
  <c r="F9" i="6" s="1"/>
  <c r="D8" i="6"/>
  <c r="E8" i="6" s="1"/>
  <c r="E7" i="6"/>
  <c r="D7" i="6"/>
  <c r="F7" i="6" s="1"/>
  <c r="D6" i="6"/>
  <c r="F6" i="6" s="1"/>
  <c r="D5" i="6"/>
  <c r="F5" i="6" s="1"/>
  <c r="D4" i="6"/>
  <c r="E4" i="6" s="1"/>
  <c r="D3" i="6"/>
  <c r="F3" i="6" s="1"/>
  <c r="D2" i="6"/>
  <c r="F2" i="6" s="1"/>
  <c r="I2" i="2"/>
  <c r="H10" i="2" s="1"/>
  <c r="C28" i="5"/>
  <c r="C27" i="5"/>
  <c r="C26" i="5"/>
  <c r="C25" i="5"/>
  <c r="Q12" i="5"/>
  <c r="Q11" i="5"/>
  <c r="Q10" i="5"/>
  <c r="M11" i="5"/>
  <c r="L9" i="5"/>
  <c r="L12" i="5"/>
  <c r="M9" i="5"/>
  <c r="L14" i="5"/>
  <c r="L6" i="5"/>
  <c r="C2" i="2"/>
  <c r="M16" i="5"/>
  <c r="L7" i="5"/>
  <c r="M12" i="5"/>
  <c r="L15" i="5"/>
  <c r="L8" i="5"/>
  <c r="M7" i="5"/>
  <c r="L10" i="5"/>
  <c r="M14" i="5"/>
  <c r="M6" i="5"/>
  <c r="M13" i="5"/>
  <c r="L11" i="5"/>
  <c r="L13" i="5"/>
  <c r="L16" i="5"/>
  <c r="M15" i="5"/>
  <c r="M10" i="5"/>
  <c r="M8" i="5"/>
  <c r="L17" i="5"/>
  <c r="M17" i="5"/>
  <c r="D24" i="6" l="1"/>
  <c r="D26" i="6"/>
  <c r="D20" i="6"/>
  <c r="D19" i="6"/>
  <c r="D17" i="6"/>
  <c r="D21" i="6"/>
  <c r="D18" i="6"/>
  <c r="D27" i="6"/>
  <c r="F20" i="5"/>
  <c r="F19" i="5"/>
  <c r="E3" i="6"/>
  <c r="E5" i="6"/>
  <c r="F12" i="6"/>
  <c r="D23" i="6"/>
  <c r="D25" i="6"/>
  <c r="F8" i="6"/>
  <c r="F4" i="6"/>
  <c r="E11" i="6"/>
  <c r="E2" i="6"/>
  <c r="E6" i="6"/>
  <c r="E10" i="6"/>
  <c r="F21" i="5" l="1"/>
</calcChain>
</file>

<file path=xl/sharedStrings.xml><?xml version="1.0" encoding="utf-8"?>
<sst xmlns="http://schemas.openxmlformats.org/spreadsheetml/2006/main" count="149" uniqueCount="83">
  <si>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</si>
  <si>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</si>
  <si>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</si>
  <si>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</si>
  <si>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</si>
  <si>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</si>
  <si>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</si>
  <si>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</si>
  <si>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</si>
  <si>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</si>
  <si>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</si>
  <si>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</si>
  <si>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</si>
  <si>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</si>
  <si>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</si>
  <si>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</si>
  <si>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</si>
  <si>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</si>
  <si>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</si>
  <si>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</si>
  <si>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</si>
  <si>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</si>
  <si>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</si>
  <si>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</si>
  <si>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</si>
  <si>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</si>
  <si>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</si>
  <si>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</si>
  <si>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</si>
  <si>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</si>
  <si>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</si>
  <si>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</si>
  <si>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</si>
  <si>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</si>
  <si>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</si>
  <si>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</si>
  <si>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</si>
  <si>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</si>
  <si>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</si>
  <si>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</si>
  <si>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</si>
  <si>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</si>
  <si>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</si>
  <si>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</si>
  <si>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</si>
  <si>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</si>
  <si>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</si>
  <si>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</si>
  <si>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</si>
  <si>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</si>
  <si>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</si>
  <si>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</si>
  <si>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</si>
  <si>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</si>
  <si>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</si>
  <si>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</si>
  <si>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</si>
  <si>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</si>
  <si>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</si>
  <si>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</si>
  <si>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</si>
  <si>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</si>
  <si>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</si>
  <si>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AvailProd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</si>
  <si>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</si>
  <si>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</si>
  <si>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</si>
  <si>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</si>
  <si>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</si>
  <si>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</si>
  <si>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</si>
  <si>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</si>
  <si>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</si>
  <si>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</si>
  <si>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</si>
  <si>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</si>
  <si>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</si>
  <si>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</si>
  <si>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Welcome to Farmers Market! Try to get a high score by the end of Day 30</t>
  </si>
  <si>
    <t>Current Price</t>
  </si>
  <si>
    <t>Individual Variables</t>
  </si>
  <si>
    <t>Inventory Variables</t>
  </si>
  <si>
    <t>Location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</si>
</sst>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6" formatCode="&quot;$&quot;0.00;\-0;;@\ "/>
    <numFmt numFmtId="167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6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6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167" fontId="4" fillId="2" borderId="7" xfId="1" applyNumberFormat="1" applyFont="1" applyFill="1" applyBorder="1" applyAlignment="1">
      <alignment horizontal="center" vertical="top"/>
    </xf>
    <xf numFmtId="0" fontId="6" fillId="4" borderId="18" xfId="0" applyFont="1" applyFill="1" applyBorder="1" applyAlignment="1">
      <alignment horizontal="center" vertical="center" wrapText="1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9" fillId="0" borderId="0" xfId="0" applyFont="1" applyAlignment="1">
      <alignment horizontal="center" wrapText="1"/>
    </xf>
    <xf numFmtId="0" fontId="9" fillId="0" borderId="0" xfId="0" applyFont="1"/>
    <xf numFmtId="0" fontId="10" fillId="0" borderId="0" xfId="2" applyFont="1"/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7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Execute Transaction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workbookViewId="0">
      <selection activeCell="E7" sqref="E7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10" width="2.855468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54" width="0" style="2" hidden="1" customWidth="1"/>
    <col min="55" max="67" width="0" style="2" hidden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2" t="s">
        <v>28</v>
      </c>
      <c r="Q3" s="22" t="s">
        <v>3</v>
      </c>
      <c r="R3" s="3"/>
      <c r="S3" s="1"/>
    </row>
    <row r="4" spans="1:19" ht="15.75" customHeight="1" x14ac:dyDescent="0.3">
      <c r="A4" s="1"/>
      <c r="B4" s="3"/>
      <c r="C4" s="8"/>
      <c r="D4" s="28" t="s">
        <v>48</v>
      </c>
      <c r="E4" s="29"/>
      <c r="F4" s="42" t="s">
        <v>64</v>
      </c>
      <c r="G4" s="40" t="s">
        <v>65</v>
      </c>
      <c r="H4" s="4"/>
      <c r="I4" s="4"/>
      <c r="J4" s="4"/>
      <c r="K4" s="28" t="s">
        <v>56</v>
      </c>
      <c r="L4" s="36"/>
      <c r="M4" s="29"/>
      <c r="N4" s="9"/>
      <c r="O4" s="3"/>
      <c r="P4" s="22" t="s">
        <v>2</v>
      </c>
      <c r="Q4" s="22" t="s">
        <v>7</v>
      </c>
      <c r="R4" s="3"/>
      <c r="S4" s="1"/>
    </row>
    <row r="5" spans="1:19" ht="15.75" x14ac:dyDescent="0.3">
      <c r="A5" s="1"/>
      <c r="B5" s="3"/>
      <c r="C5" s="8"/>
      <c r="D5" s="26" t="s">
        <v>49</v>
      </c>
      <c r="E5" s="27" t="s">
        <v>29</v>
      </c>
      <c r="F5" s="42"/>
      <c r="G5" s="40"/>
      <c r="H5" s="4"/>
      <c r="I5" s="4"/>
      <c r="J5" s="4"/>
      <c r="K5" s="26" t="s">
        <v>49</v>
      </c>
      <c r="L5" s="27" t="s">
        <v>57</v>
      </c>
      <c r="M5" s="27" t="s">
        <v>58</v>
      </c>
      <c r="N5" s="9"/>
      <c r="O5" s="3"/>
      <c r="P5" s="22" t="s">
        <v>1</v>
      </c>
      <c r="Q5" s="22" t="s">
        <v>4</v>
      </c>
      <c r="R5" s="3"/>
      <c r="S5" s="1"/>
    </row>
    <row r="6" spans="1:19" x14ac:dyDescent="0.25">
      <c r="A6" s="1"/>
      <c r="B6" s="3"/>
      <c r="C6" s="8"/>
      <c r="D6" s="19" t="s">
        <v>14</v>
      </c>
      <c r="E6" s="21">
        <v>1.546177368340218</v>
      </c>
      <c r="F6" s="47"/>
      <c r="G6" s="47"/>
      <c r="H6" s="4"/>
      <c r="I6" s="4"/>
      <c r="J6" s="4"/>
      <c r="K6" s="19"/>
      <c r="L6" s="21">
        <f>IFERROR(AvgPurchasePrice(K6),)</f>
        <v>0</v>
      </c>
      <c r="M6" s="20">
        <f>IFERROR(CarriedQuantity(K6),)</f>
        <v>0</v>
      </c>
      <c r="N6" s="9"/>
      <c r="O6" s="3"/>
      <c r="P6" s="22" t="s">
        <v>6</v>
      </c>
      <c r="Q6" s="22" t="s">
        <v>5</v>
      </c>
      <c r="R6" s="3"/>
      <c r="S6" s="1"/>
    </row>
    <row r="7" spans="1:19" x14ac:dyDescent="0.25">
      <c r="A7" s="1"/>
      <c r="B7" s="3"/>
      <c r="C7" s="8"/>
      <c r="D7" s="19" t="s">
        <v>9</v>
      </c>
      <c r="E7" s="21">
        <v>231.56312947532109</v>
      </c>
      <c r="F7" s="47"/>
      <c r="G7" s="47"/>
      <c r="H7" s="4"/>
      <c r="I7" s="4"/>
      <c r="J7" s="4"/>
      <c r="K7" s="19"/>
      <c r="L7" s="21">
        <f t="shared" ref="L7:L21" si="0">IFERROR(AvgPurchasePrice(K7),)</f>
        <v>0</v>
      </c>
      <c r="M7" s="20">
        <f t="shared" ref="M7:M21" si="1">IFERROR(CarriedQuantity(K7),)</f>
        <v>0</v>
      </c>
      <c r="N7" s="9"/>
      <c r="O7" s="3"/>
      <c r="P7" s="49"/>
      <c r="Q7" s="49"/>
      <c r="R7" s="3"/>
      <c r="S7" s="1"/>
    </row>
    <row r="8" spans="1:19" ht="15.75" thickBot="1" x14ac:dyDescent="0.3">
      <c r="A8" s="1"/>
      <c r="B8" s="3"/>
      <c r="C8" s="8"/>
      <c r="D8" s="19" t="s">
        <v>13</v>
      </c>
      <c r="E8" s="21">
        <v>23.257722840738712</v>
      </c>
      <c r="F8" s="47"/>
      <c r="G8" s="47"/>
      <c r="H8" s="4"/>
      <c r="I8" s="4"/>
      <c r="J8" s="4"/>
      <c r="K8" s="19"/>
      <c r="L8" s="21">
        <f t="shared" si="0"/>
        <v>0</v>
      </c>
      <c r="M8" s="20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9" t="s">
        <v>18</v>
      </c>
      <c r="E9" s="21">
        <v>22.430093435711754</v>
      </c>
      <c r="F9" s="47"/>
      <c r="G9" s="47"/>
      <c r="H9" s="4"/>
      <c r="I9" s="4"/>
      <c r="J9" s="4"/>
      <c r="K9" s="19"/>
      <c r="L9" s="21">
        <f t="shared" si="0"/>
        <v>0</v>
      </c>
      <c r="M9" s="20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9" t="s">
        <v>16</v>
      </c>
      <c r="E10" s="21">
        <v>6.6735609785319658</v>
      </c>
      <c r="F10" s="47"/>
      <c r="G10" s="47"/>
      <c r="H10" s="4"/>
      <c r="I10" s="4"/>
      <c r="J10" s="4"/>
      <c r="K10" s="19"/>
      <c r="L10" s="21">
        <f t="shared" si="0"/>
        <v>0</v>
      </c>
      <c r="M10" s="20">
        <f t="shared" si="1"/>
        <v>0</v>
      </c>
      <c r="N10" s="9"/>
      <c r="O10" s="3"/>
      <c r="P10" s="18" t="s">
        <v>50</v>
      </c>
      <c r="Q10" s="17">
        <f>DayProgress</f>
        <v>1</v>
      </c>
      <c r="R10" s="3"/>
      <c r="S10" s="1"/>
    </row>
    <row r="11" spans="1:19" ht="15.75" x14ac:dyDescent="0.3">
      <c r="A11" s="1"/>
      <c r="B11" s="3"/>
      <c r="C11" s="8"/>
      <c r="D11" s="19" t="s">
        <v>17</v>
      </c>
      <c r="E11" s="21">
        <v>13.785715802561079</v>
      </c>
      <c r="F11" s="47"/>
      <c r="G11" s="47"/>
      <c r="H11" s="4"/>
      <c r="I11" s="4"/>
      <c r="J11" s="4"/>
      <c r="K11" s="19"/>
      <c r="L11" s="21">
        <f t="shared" si="0"/>
        <v>0</v>
      </c>
      <c r="M11" s="20">
        <f t="shared" si="1"/>
        <v>0</v>
      </c>
      <c r="N11" s="9"/>
      <c r="O11" s="3"/>
      <c r="P11" s="18" t="s">
        <v>26</v>
      </c>
      <c r="Q11" s="17" t="str">
        <f>Location</f>
        <v>Central Park</v>
      </c>
      <c r="R11" s="3"/>
      <c r="S11" s="1"/>
    </row>
    <row r="12" spans="1:19" ht="15.75" x14ac:dyDescent="0.3">
      <c r="A12" s="1"/>
      <c r="B12" s="3"/>
      <c r="C12" s="8"/>
      <c r="D12" s="19" t="s">
        <v>11</v>
      </c>
      <c r="E12" s="21">
        <v>5.48147588727144</v>
      </c>
      <c r="F12" s="47"/>
      <c r="G12" s="47"/>
      <c r="H12" s="4"/>
      <c r="I12" s="4"/>
      <c r="J12" s="4"/>
      <c r="K12" s="19"/>
      <c r="L12" s="21">
        <f t="shared" si="0"/>
        <v>0</v>
      </c>
      <c r="M12" s="20">
        <f t="shared" si="1"/>
        <v>0</v>
      </c>
      <c r="N12" s="9"/>
      <c r="O12" s="3"/>
      <c r="P12" s="18" t="s">
        <v>25</v>
      </c>
      <c r="Q12" s="41">
        <f>MoneyOnHandVariable</f>
        <v>1000</v>
      </c>
      <c r="R12" s="3"/>
      <c r="S12" s="1"/>
    </row>
    <row r="13" spans="1:19" ht="15.75" x14ac:dyDescent="0.3">
      <c r="A13" s="1"/>
      <c r="B13" s="3"/>
      <c r="C13" s="8"/>
      <c r="D13" s="19"/>
      <c r="E13" s="21"/>
      <c r="F13" s="47"/>
      <c r="G13" s="47"/>
      <c r="H13" s="4"/>
      <c r="I13" s="4"/>
      <c r="J13" s="4"/>
      <c r="K13" s="19"/>
      <c r="L13" s="21">
        <f t="shared" si="0"/>
        <v>0</v>
      </c>
      <c r="M13" s="20">
        <f t="shared" si="1"/>
        <v>0</v>
      </c>
      <c r="N13" s="9"/>
      <c r="O13" s="3"/>
      <c r="P13" s="18" t="s">
        <v>75</v>
      </c>
      <c r="Q13" s="41">
        <f>InventoryValue+MoneyOnHandVariable</f>
        <v>1000</v>
      </c>
      <c r="R13" s="3"/>
      <c r="S13" s="1"/>
    </row>
    <row r="14" spans="1:19" x14ac:dyDescent="0.25">
      <c r="A14" s="1"/>
      <c r="B14" s="3"/>
      <c r="C14" s="8"/>
      <c r="D14" s="19"/>
      <c r="E14" s="21"/>
      <c r="F14" s="47"/>
      <c r="G14" s="47"/>
      <c r="H14" s="4"/>
      <c r="I14" s="4"/>
      <c r="J14" s="4"/>
      <c r="K14" s="19"/>
      <c r="L14" s="21">
        <f t="shared" si="0"/>
        <v>0</v>
      </c>
      <c r="M14" s="20">
        <f t="shared" si="1"/>
        <v>0</v>
      </c>
      <c r="N14" s="9"/>
      <c r="O14" s="3"/>
      <c r="P14" s="8"/>
      <c r="Q14" s="9"/>
      <c r="R14" s="3"/>
      <c r="S14" s="1"/>
    </row>
    <row r="15" spans="1:19" x14ac:dyDescent="0.25">
      <c r="A15" s="1"/>
      <c r="B15" s="3"/>
      <c r="C15" s="8"/>
      <c r="D15" s="19"/>
      <c r="E15" s="21"/>
      <c r="F15" s="47"/>
      <c r="G15" s="47"/>
      <c r="H15" s="4"/>
      <c r="I15" s="4"/>
      <c r="J15" s="4"/>
      <c r="K15" s="19"/>
      <c r="L15" s="21">
        <f t="shared" si="0"/>
        <v>0</v>
      </c>
      <c r="M15" s="20">
        <f t="shared" si="1"/>
        <v>0</v>
      </c>
      <c r="N15" s="9"/>
      <c r="O15" s="3"/>
      <c r="P15" s="8"/>
      <c r="Q15" s="9"/>
      <c r="R15" s="3"/>
      <c r="S15" s="1"/>
    </row>
    <row r="16" spans="1:19" x14ac:dyDescent="0.25">
      <c r="A16" s="1"/>
      <c r="B16" s="3"/>
      <c r="C16" s="8"/>
      <c r="D16" s="19"/>
      <c r="E16" s="21"/>
      <c r="F16" s="47"/>
      <c r="G16" s="47"/>
      <c r="H16" s="4"/>
      <c r="I16" s="4"/>
      <c r="J16" s="4"/>
      <c r="K16" s="19"/>
      <c r="L16" s="21">
        <f t="shared" si="0"/>
        <v>0</v>
      </c>
      <c r="M16" s="20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3"/>
      <c r="E17" s="24"/>
      <c r="F17" s="48"/>
      <c r="G17" s="48"/>
      <c r="H17" s="4"/>
      <c r="I17" s="4"/>
      <c r="J17" s="4"/>
      <c r="K17" s="23"/>
      <c r="L17" s="24">
        <f t="shared" si="0"/>
        <v>0</v>
      </c>
      <c r="M17" s="25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50"/>
      <c r="E18" s="51"/>
      <c r="F18" s="51"/>
      <c r="G18" s="52"/>
      <c r="H18" s="4"/>
      <c r="I18" s="4"/>
      <c r="J18" s="4"/>
      <c r="K18" s="20"/>
      <c r="L18" s="20"/>
      <c r="M18" s="20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38" t="s">
        <v>67</v>
      </c>
      <c r="E19" s="39"/>
      <c r="F19" s="43">
        <f>SUMPRODUCT(ProdAvailPrice,Buy_Amount)</f>
        <v>0</v>
      </c>
      <c r="G19" s="44"/>
      <c r="H19" s="4"/>
      <c r="I19" s="4"/>
      <c r="J19" s="4"/>
      <c r="K19" s="20"/>
      <c r="L19" s="20"/>
      <c r="M19" s="20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45" t="s">
        <v>68</v>
      </c>
      <c r="E20" s="46"/>
      <c r="F20" s="43">
        <f>SUMPRODUCT(ProdAvailPrice,Sell_Amount)</f>
        <v>0</v>
      </c>
      <c r="G20" s="44"/>
      <c r="H20" s="4"/>
      <c r="I20" s="4"/>
      <c r="J20" s="4"/>
      <c r="K20" s="20"/>
      <c r="L20" s="20"/>
      <c r="M20" s="20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38" t="s">
        <v>69</v>
      </c>
      <c r="E21" s="39"/>
      <c r="F21" s="43">
        <f>SUM(-Purchase_Total,Sale_Total)</f>
        <v>0</v>
      </c>
      <c r="G21" s="44"/>
      <c r="H21" s="4"/>
      <c r="I21" s="4"/>
      <c r="J21" s="4"/>
      <c r="K21" s="20"/>
      <c r="L21" s="20"/>
      <c r="M21" s="20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37"/>
      <c r="E22" s="37"/>
      <c r="F22" s="4"/>
      <c r="G22" s="20"/>
      <c r="H22" s="4"/>
      <c r="I22" s="4"/>
      <c r="J22" s="4"/>
      <c r="K22" s="60" t="s">
        <v>74</v>
      </c>
      <c r="L22" s="61">
        <f>TotalAvgValue</f>
        <v>0</v>
      </c>
      <c r="M22" s="60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6" t="str">
        <f>"&gt; "&amp;Message</f>
        <v>&gt; Welcome to Farmers Market! Try to get a high score by the end of Day 30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8"/>
      <c r="O25" s="3"/>
      <c r="P25" s="8"/>
      <c r="Q25" s="9"/>
      <c r="R25" s="3"/>
      <c r="S25" s="1"/>
    </row>
    <row r="26" spans="1:19" x14ac:dyDescent="0.25">
      <c r="A26" s="1"/>
      <c r="B26" s="3"/>
      <c r="C26" s="33">
        <f>Message1</f>
        <v>0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5"/>
      <c r="O26" s="3"/>
      <c r="P26" s="8"/>
      <c r="Q26" s="9"/>
      <c r="R26" s="3"/>
      <c r="S26" s="1"/>
    </row>
    <row r="27" spans="1:19" x14ac:dyDescent="0.25">
      <c r="A27" s="1"/>
      <c r="B27" s="3"/>
      <c r="C27" s="33">
        <f>Message2</f>
        <v>0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5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30">
        <f>Message3</f>
        <v>0</v>
      </c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2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selectLockedCells="1"/>
  <mergeCells count="16">
    <mergeCell ref="D18:G18"/>
    <mergeCell ref="D19:E19"/>
    <mergeCell ref="F20:G20"/>
    <mergeCell ref="F19:G19"/>
    <mergeCell ref="D21:E21"/>
    <mergeCell ref="F21:G21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</mergeCells>
  <conditionalFormatting sqref="P3:Q6">
    <cfRule type="expression" dxfId="0" priority="1">
      <formula>P3=$Q$11</formula>
    </cfRule>
  </conditionalFormatting>
  <dataValidations count="1">
    <dataValidation type="whole" operator="greaterThanOrEqual" allowBlank="1" showErrorMessage="1" errorTitle="Invalid Entry" error="Please Enter A Positive Whole Number. " sqref="F6:G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T16"/>
  <sheetViews>
    <sheetView tabSelected="1" workbookViewId="0">
      <selection activeCell="K10" sqref="K10"/>
    </sheetView>
  </sheetViews>
  <sheetFormatPr defaultRowHeight="15" x14ac:dyDescent="0.25"/>
  <sheetData>
    <row r="2" spans="3:20" x14ac:dyDescent="0.25">
      <c r="C2" t="e">
        <f ca="1">MoneyOnHand()</f>
        <v>#NAME?</v>
      </c>
      <c r="I2" t="str">
        <f>Location</f>
        <v>Central Park</v>
      </c>
    </row>
    <row r="4" spans="3:20" x14ac:dyDescent="0.25">
      <c r="O4" t="s">
        <v>66</v>
      </c>
      <c r="P4" t="s">
        <v>61</v>
      </c>
      <c r="Q4" t="s">
        <v>49</v>
      </c>
      <c r="S4" t="s">
        <v>63</v>
      </c>
    </row>
    <row r="5" spans="3:20" x14ac:dyDescent="0.25">
      <c r="O5">
        <v>699</v>
      </c>
      <c r="P5">
        <v>1</v>
      </c>
      <c r="Q5" t="s">
        <v>24</v>
      </c>
      <c r="S5">
        <v>1</v>
      </c>
    </row>
    <row r="6" spans="3:20" x14ac:dyDescent="0.25">
      <c r="O6">
        <v>33.199999999999996</v>
      </c>
      <c r="P6">
        <v>1</v>
      </c>
      <c r="Q6" t="s">
        <v>9</v>
      </c>
      <c r="S6">
        <v>1</v>
      </c>
    </row>
    <row r="7" spans="3:20" x14ac:dyDescent="0.25">
      <c r="O7">
        <v>0</v>
      </c>
      <c r="P7">
        <v>1</v>
      </c>
      <c r="Q7" t="s">
        <v>12</v>
      </c>
      <c r="S7">
        <v>1</v>
      </c>
    </row>
    <row r="8" spans="3:20" x14ac:dyDescent="0.25">
      <c r="K8">
        <f>SUM(Buy_Amount,Sell_Amount)</f>
        <v>0</v>
      </c>
      <c r="O8">
        <v>94</v>
      </c>
      <c r="P8">
        <v>0</v>
      </c>
      <c r="Q8" t="s">
        <v>10</v>
      </c>
      <c r="S8">
        <v>0</v>
      </c>
    </row>
    <row r="9" spans="3:20" x14ac:dyDescent="0.25">
      <c r="O9">
        <v>110.15</v>
      </c>
      <c r="P9">
        <v>0</v>
      </c>
      <c r="Q9" t="s">
        <v>14</v>
      </c>
      <c r="S9">
        <v>0</v>
      </c>
    </row>
    <row r="10" spans="3:20" x14ac:dyDescent="0.25">
      <c r="H10">
        <f>MATCH(I2,I1:I3,0)</f>
        <v>2</v>
      </c>
      <c r="O10">
        <v>0</v>
      </c>
      <c r="P10">
        <v>1</v>
      </c>
      <c r="Q10" t="s">
        <v>13</v>
      </c>
      <c r="S10">
        <v>1</v>
      </c>
    </row>
    <row r="11" spans="3:20" x14ac:dyDescent="0.25">
      <c r="O11">
        <v>0</v>
      </c>
      <c r="P11">
        <v>0</v>
      </c>
      <c r="Q11" t="s">
        <v>15</v>
      </c>
      <c r="S11" s="59">
        <v>0</v>
      </c>
    </row>
    <row r="12" spans="3:20" x14ac:dyDescent="0.25">
      <c r="J12">
        <f>INDEX(Prod_Value_Carried,MATCH("Corn",ProductList,0))</f>
        <v>0</v>
      </c>
      <c r="O12">
        <v>740.45999999999992</v>
      </c>
      <c r="P12">
        <v>1</v>
      </c>
      <c r="Q12" t="s">
        <v>18</v>
      </c>
      <c r="S12" s="59">
        <v>1</v>
      </c>
      <c r="T12" s="59"/>
    </row>
    <row r="13" spans="3:20" x14ac:dyDescent="0.25">
      <c r="O13">
        <v>173.91</v>
      </c>
      <c r="P13">
        <v>0</v>
      </c>
      <c r="Q13" t="s">
        <v>16</v>
      </c>
      <c r="S13">
        <v>0</v>
      </c>
    </row>
    <row r="14" spans="3:20" x14ac:dyDescent="0.25">
      <c r="O14">
        <v>0</v>
      </c>
      <c r="P14">
        <v>0</v>
      </c>
      <c r="Q14" t="s">
        <v>17</v>
      </c>
      <c r="S14" s="59">
        <v>0</v>
      </c>
    </row>
    <row r="15" spans="3:20" x14ac:dyDescent="0.25">
      <c r="O15">
        <v>464.20000000000005</v>
      </c>
      <c r="P15">
        <v>1</v>
      </c>
      <c r="Q15" t="s">
        <v>8</v>
      </c>
      <c r="S15" s="59">
        <v>1</v>
      </c>
    </row>
    <row r="16" spans="3:20" x14ac:dyDescent="0.25">
      <c r="O16">
        <v>30</v>
      </c>
      <c r="P16">
        <v>0</v>
      </c>
      <c r="Q16" t="s">
        <v>11</v>
      </c>
      <c r="S16" s="59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4"/>
  <sheetViews>
    <sheetView tabSelected="1" workbookViewId="0">
      <selection activeCell="K10" sqref="K10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62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12.28515625" bestFit="1" customWidth="1"/>
    <col min="14" max="14" width="2.5703125" style="62" customWidth="1"/>
    <col min="15" max="15" width="12" customWidth="1"/>
    <col min="16" max="16" width="12" bestFit="1" customWidth="1"/>
    <col min="17" max="17" width="8.7109375" bestFit="1" customWidth="1"/>
    <col min="18" max="18" width="8.42578125" bestFit="1" customWidth="1"/>
    <col min="19" max="19" width="12.28515625" bestFit="1" customWidth="1"/>
    <col min="20" max="20" width="2.5703125" style="62" customWidth="1"/>
    <col min="21" max="21" width="19.42578125" bestFit="1" customWidth="1"/>
    <col min="22" max="22" width="17.42578125" bestFit="1" customWidth="1"/>
    <col min="23" max="23" width="2.5703125" style="62" customWidth="1"/>
    <col min="25" max="25" width="8.7109375" bestFit="1" customWidth="1"/>
  </cols>
  <sheetData>
    <row r="1" spans="1:23" x14ac:dyDescent="0.25">
      <c r="A1" s="63" t="s">
        <v>80</v>
      </c>
      <c r="B1" s="63"/>
      <c r="C1" s="64"/>
      <c r="D1" s="63" t="s">
        <v>60</v>
      </c>
      <c r="E1" s="63"/>
      <c r="F1" s="63"/>
      <c r="G1" s="63"/>
      <c r="H1" s="63"/>
      <c r="I1" s="63"/>
      <c r="J1" s="63"/>
      <c r="K1" s="63"/>
      <c r="L1" s="63"/>
      <c r="M1" s="63"/>
      <c r="N1" s="64"/>
      <c r="O1" s="63" t="s">
        <v>81</v>
      </c>
      <c r="P1" s="63"/>
      <c r="Q1" s="63"/>
      <c r="R1" s="63"/>
      <c r="S1" s="63"/>
      <c r="T1" s="64"/>
      <c r="U1" s="63" t="s">
        <v>82</v>
      </c>
      <c r="V1" s="63"/>
      <c r="W1" s="64"/>
    </row>
    <row r="2" spans="1:23" x14ac:dyDescent="0.25">
      <c r="A2" t="s">
        <v>0</v>
      </c>
      <c r="B2" s="13">
        <v>1000</v>
      </c>
      <c r="D2" t="s">
        <v>49</v>
      </c>
      <c r="E2" s="15" t="s">
        <v>47</v>
      </c>
      <c r="F2" s="15" t="s">
        <v>46</v>
      </c>
      <c r="G2" s="15" t="s">
        <v>45</v>
      </c>
      <c r="H2" s="15" t="s">
        <v>44</v>
      </c>
      <c r="I2" s="14" t="s">
        <v>43</v>
      </c>
      <c r="J2" s="14" t="s">
        <v>79</v>
      </c>
      <c r="K2" t="s">
        <v>19</v>
      </c>
      <c r="L2" s="15" t="s">
        <v>61</v>
      </c>
      <c r="M2" s="15" t="s">
        <v>49</v>
      </c>
      <c r="O2" t="s">
        <v>66</v>
      </c>
      <c r="P2" t="s">
        <v>57</v>
      </c>
      <c r="Q2">
        <v>10</v>
      </c>
      <c r="R2" t="s">
        <v>62</v>
      </c>
      <c r="S2" s="15" t="s">
        <v>49</v>
      </c>
      <c r="U2" t="s">
        <v>59</v>
      </c>
      <c r="V2" t="s">
        <v>30</v>
      </c>
    </row>
    <row r="3" spans="1:23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ca="1">RANDBETWEEN(E3,F3)+RAND()</f>
        <v>18.29305390327222</v>
      </c>
      <c r="K3" t="s">
        <v>22</v>
      </c>
      <c r="L3">
        <f t="shared" ref="L3:L14" ca="1" si="2">RANDBETWEEN(0,1)</f>
        <v>0</v>
      </c>
      <c r="M3" t="str">
        <f t="shared" ref="M3:M14" si="3">D3</f>
        <v>Blueberries</v>
      </c>
      <c r="O3" s="59">
        <v>0</v>
      </c>
      <c r="P3">
        <f>IFERROR(O3/Q3,0)</f>
        <v>0</v>
      </c>
      <c r="Q3">
        <v>0</v>
      </c>
      <c r="R3">
        <f t="shared" ref="R3:R14" si="4">IF(Q3&gt;0,1,0)</f>
        <v>0</v>
      </c>
      <c r="S3" t="str">
        <f t="shared" ref="S3:S14" si="5">D3</f>
        <v>Blueberries</v>
      </c>
      <c r="U3" t="s">
        <v>28</v>
      </c>
      <c r="V3" s="12">
        <v>1</v>
      </c>
    </row>
    <row r="4" spans="1:23" x14ac:dyDescent="0.25">
      <c r="A4" t="s">
        <v>51</v>
      </c>
      <c r="B4">
        <v>1</v>
      </c>
      <c r="D4" t="s">
        <v>14</v>
      </c>
      <c r="E4">
        <f t="shared" ref="E4" si="6">H4-I4</f>
        <v>0.10999999999999999</v>
      </c>
      <c r="F4">
        <f t="shared" ref="F4" si="7">H4+I4</f>
        <v>0.6</v>
      </c>
      <c r="G4">
        <f t="shared" ref="G4" si="8">F4-E4</f>
        <v>0.49</v>
      </c>
      <c r="H4">
        <v>0.35499999999999998</v>
      </c>
      <c r="I4">
        <v>0.245</v>
      </c>
      <c r="J4" s="12">
        <f t="shared" ref="J4" ca="1" si="9">RANDBETWEEN(E4,F4)+RAND()</f>
        <v>1.6885173037092629</v>
      </c>
      <c r="K4" t="s">
        <v>20</v>
      </c>
      <c r="L4">
        <f t="shared" ca="1" si="2"/>
        <v>1</v>
      </c>
      <c r="M4" t="str">
        <f t="shared" si="3"/>
        <v>Corn</v>
      </c>
      <c r="O4" s="59">
        <v>0</v>
      </c>
      <c r="P4">
        <f t="shared" ref="P4:P14" si="10">IFERROR(O4/Q4,0)</f>
        <v>0</v>
      </c>
      <c r="Q4">
        <v>0</v>
      </c>
      <c r="R4">
        <f t="shared" si="4"/>
        <v>0</v>
      </c>
      <c r="S4" t="str">
        <f t="shared" si="5"/>
        <v>Corn</v>
      </c>
      <c r="U4" t="s">
        <v>2</v>
      </c>
      <c r="V4" s="12">
        <v>1</v>
      </c>
    </row>
    <row r="5" spans="1:23" x14ac:dyDescent="0.25">
      <c r="A5" t="s">
        <v>52</v>
      </c>
      <c r="B5" t="s">
        <v>78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11">F5-E5</f>
        <v>8</v>
      </c>
      <c r="H5">
        <v>8.8000000000000007</v>
      </c>
      <c r="I5">
        <v>4</v>
      </c>
      <c r="J5" s="12">
        <f t="shared" ref="J4:J14" ca="1" si="12">RANDBETWEEN(E5,F5)+RAND()</f>
        <v>6.6335980463381565</v>
      </c>
      <c r="K5" t="s">
        <v>23</v>
      </c>
      <c r="L5">
        <f t="shared" ca="1" si="2"/>
        <v>1</v>
      </c>
      <c r="M5" t="str">
        <f t="shared" si="3"/>
        <v>Cucumber</v>
      </c>
      <c r="O5" s="59">
        <v>0</v>
      </c>
      <c r="P5">
        <f t="shared" si="10"/>
        <v>0</v>
      </c>
      <c r="Q5">
        <v>0</v>
      </c>
      <c r="R5">
        <f t="shared" si="4"/>
        <v>0</v>
      </c>
      <c r="S5" t="str">
        <f t="shared" si="5"/>
        <v>Cucumber</v>
      </c>
      <c r="U5" t="s">
        <v>1</v>
      </c>
      <c r="V5" s="12">
        <v>1</v>
      </c>
    </row>
    <row r="6" spans="1:23" x14ac:dyDescent="0.25">
      <c r="A6" t="s">
        <v>53</v>
      </c>
      <c r="D6" t="s">
        <v>8</v>
      </c>
      <c r="E6">
        <f t="shared" si="0"/>
        <v>55</v>
      </c>
      <c r="F6">
        <f t="shared" si="1"/>
        <v>130</v>
      </c>
      <c r="G6">
        <f t="shared" si="11"/>
        <v>75</v>
      </c>
      <c r="H6">
        <v>92.5</v>
      </c>
      <c r="I6">
        <v>37.5</v>
      </c>
      <c r="J6" s="12">
        <f t="shared" ca="1" si="12"/>
        <v>93.156652829484727</v>
      </c>
      <c r="K6" t="s">
        <v>20</v>
      </c>
      <c r="L6">
        <f t="shared" ca="1" si="2"/>
        <v>0</v>
      </c>
      <c r="M6" t="str">
        <f t="shared" si="3"/>
        <v>Eggs</v>
      </c>
      <c r="O6" s="59">
        <v>0</v>
      </c>
      <c r="P6">
        <f t="shared" si="10"/>
        <v>0</v>
      </c>
      <c r="Q6">
        <v>0</v>
      </c>
      <c r="R6">
        <f t="shared" si="4"/>
        <v>0</v>
      </c>
      <c r="S6" t="str">
        <f t="shared" si="5"/>
        <v>Eggs</v>
      </c>
      <c r="U6" t="s">
        <v>6</v>
      </c>
      <c r="V6" s="12">
        <v>1</v>
      </c>
    </row>
    <row r="7" spans="1:23" x14ac:dyDescent="0.25">
      <c r="A7" t="s">
        <v>54</v>
      </c>
      <c r="D7" t="s">
        <v>9</v>
      </c>
      <c r="E7">
        <f t="shared" ref="E7" si="13">H7-I7</f>
        <v>150</v>
      </c>
      <c r="F7">
        <f t="shared" ref="F7" si="14">H7+I7</f>
        <v>290</v>
      </c>
      <c r="G7">
        <f t="shared" ref="G7" si="15">F7-E7</f>
        <v>140</v>
      </c>
      <c r="H7">
        <v>220</v>
      </c>
      <c r="I7">
        <v>70</v>
      </c>
      <c r="J7" s="12">
        <f t="shared" ref="J7" ca="1" si="16">RANDBETWEEN(E7,F7)+RAND()</f>
        <v>219.12420458739021</v>
      </c>
      <c r="K7" t="s">
        <v>21</v>
      </c>
      <c r="L7">
        <f t="shared" ca="1" si="2"/>
        <v>0</v>
      </c>
      <c r="M7" t="str">
        <f t="shared" si="3"/>
        <v>Honey</v>
      </c>
      <c r="O7" s="59">
        <v>0</v>
      </c>
      <c r="P7">
        <f t="shared" si="10"/>
        <v>0</v>
      </c>
      <c r="Q7">
        <v>0</v>
      </c>
      <c r="R7">
        <f t="shared" si="4"/>
        <v>0</v>
      </c>
      <c r="S7" t="str">
        <f t="shared" si="5"/>
        <v>Honey</v>
      </c>
      <c r="U7" t="s">
        <v>3</v>
      </c>
      <c r="V7" s="12">
        <v>1</v>
      </c>
    </row>
    <row r="8" spans="1:23" x14ac:dyDescent="0.25">
      <c r="A8" t="s">
        <v>55</v>
      </c>
      <c r="D8" t="s">
        <v>13</v>
      </c>
      <c r="E8">
        <f t="shared" si="0"/>
        <v>15</v>
      </c>
      <c r="F8">
        <f t="shared" si="1"/>
        <v>44</v>
      </c>
      <c r="G8">
        <f t="shared" si="11"/>
        <v>29</v>
      </c>
      <c r="H8">
        <v>29.5</v>
      </c>
      <c r="I8">
        <v>14.5</v>
      </c>
      <c r="J8" s="12">
        <f t="shared" ca="1" si="12"/>
        <v>38.20432400493285</v>
      </c>
      <c r="K8" t="s">
        <v>22</v>
      </c>
      <c r="L8">
        <f t="shared" ca="1" si="2"/>
        <v>0</v>
      </c>
      <c r="M8" t="str">
        <f t="shared" si="3"/>
        <v>Okra</v>
      </c>
      <c r="O8" s="59">
        <v>0</v>
      </c>
      <c r="P8">
        <f t="shared" si="10"/>
        <v>0</v>
      </c>
      <c r="Q8">
        <v>0</v>
      </c>
      <c r="R8">
        <f t="shared" si="4"/>
        <v>0</v>
      </c>
      <c r="S8" t="str">
        <f t="shared" si="5"/>
        <v>Okra</v>
      </c>
      <c r="U8" t="s">
        <v>7</v>
      </c>
      <c r="V8" s="12">
        <v>1</v>
      </c>
    </row>
    <row r="9" spans="1:23" x14ac:dyDescent="0.25">
      <c r="A9" t="s">
        <v>73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11"/>
        <v>7.1000000000000005</v>
      </c>
      <c r="H9">
        <v>8.9499999999999993</v>
      </c>
      <c r="I9">
        <v>3.55</v>
      </c>
      <c r="J9" s="12">
        <f t="shared" ca="1" si="12"/>
        <v>11.280365102698042</v>
      </c>
      <c r="K9" t="s">
        <v>23</v>
      </c>
      <c r="L9">
        <f t="shared" ca="1" si="2"/>
        <v>0</v>
      </c>
      <c r="M9" t="str">
        <f t="shared" si="3"/>
        <v>Onion</v>
      </c>
      <c r="O9" s="59">
        <v>0</v>
      </c>
      <c r="P9">
        <f t="shared" si="10"/>
        <v>0</v>
      </c>
      <c r="Q9">
        <v>0</v>
      </c>
      <c r="R9">
        <f t="shared" si="4"/>
        <v>0</v>
      </c>
      <c r="S9" t="str">
        <f t="shared" si="5"/>
        <v>Onion</v>
      </c>
      <c r="U9" t="s">
        <v>4</v>
      </c>
      <c r="V9" s="12">
        <v>1</v>
      </c>
    </row>
    <row r="10" spans="1:23" x14ac:dyDescent="0.25">
      <c r="A10" t="s">
        <v>76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11"/>
        <v>15</v>
      </c>
      <c r="H10">
        <v>17.5</v>
      </c>
      <c r="I10">
        <v>7.5</v>
      </c>
      <c r="J10" s="12">
        <f t="shared" ca="1" si="12"/>
        <v>11.670176549707978</v>
      </c>
      <c r="K10" t="s">
        <v>23</v>
      </c>
      <c r="L10">
        <f t="shared" ca="1" si="2"/>
        <v>1</v>
      </c>
      <c r="M10" t="str">
        <f t="shared" si="3"/>
        <v>Papaya</v>
      </c>
      <c r="O10" s="59">
        <v>0</v>
      </c>
      <c r="P10">
        <f t="shared" si="10"/>
        <v>0</v>
      </c>
      <c r="Q10">
        <v>0</v>
      </c>
      <c r="R10">
        <f t="shared" si="4"/>
        <v>0</v>
      </c>
      <c r="S10" t="str">
        <f t="shared" si="5"/>
        <v>Papaya</v>
      </c>
      <c r="U10" t="s">
        <v>5</v>
      </c>
      <c r="V10" s="12">
        <v>1</v>
      </c>
    </row>
    <row r="11" spans="1:23" x14ac:dyDescent="0.25">
      <c r="A11" t="s">
        <v>77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11"/>
        <v>4.8000000000000007</v>
      </c>
      <c r="H11">
        <v>4.5999999999999996</v>
      </c>
      <c r="I11">
        <v>2.4</v>
      </c>
      <c r="J11" s="12">
        <f t="shared" ca="1" si="12"/>
        <v>7.5801566439998895</v>
      </c>
      <c r="K11" t="s">
        <v>23</v>
      </c>
      <c r="L11">
        <f t="shared" ca="1" si="2"/>
        <v>1</v>
      </c>
      <c r="M11" t="str">
        <f t="shared" si="3"/>
        <v>Quince</v>
      </c>
      <c r="O11" s="59">
        <v>0</v>
      </c>
      <c r="P11">
        <f t="shared" si="10"/>
        <v>0</v>
      </c>
      <c r="Q11">
        <v>0</v>
      </c>
      <c r="R11">
        <f t="shared" si="4"/>
        <v>0</v>
      </c>
      <c r="S11" t="str">
        <f t="shared" si="5"/>
        <v>Quince</v>
      </c>
    </row>
    <row r="12" spans="1:23" x14ac:dyDescent="0.25">
      <c r="D12" t="s">
        <v>17</v>
      </c>
      <c r="E12">
        <f t="shared" si="0"/>
        <v>6.3000000000000007</v>
      </c>
      <c r="F12">
        <f t="shared" si="1"/>
        <v>13</v>
      </c>
      <c r="G12">
        <f t="shared" si="11"/>
        <v>6.6999999999999993</v>
      </c>
      <c r="H12">
        <v>9.65</v>
      </c>
      <c r="I12">
        <v>3.35</v>
      </c>
      <c r="J12" s="12">
        <f t="shared" ca="1" si="12"/>
        <v>13.42065535764282</v>
      </c>
      <c r="K12" t="s">
        <v>23</v>
      </c>
      <c r="L12">
        <f t="shared" ca="1" si="2"/>
        <v>0</v>
      </c>
      <c r="M12" t="str">
        <f t="shared" si="3"/>
        <v>Rhubarb</v>
      </c>
      <c r="O12" s="59">
        <v>0</v>
      </c>
      <c r="P12">
        <f t="shared" si="10"/>
        <v>0</v>
      </c>
      <c r="Q12">
        <v>0</v>
      </c>
      <c r="R12">
        <f t="shared" si="4"/>
        <v>0</v>
      </c>
      <c r="S12" t="str">
        <f t="shared" si="5"/>
        <v>Rhubarb</v>
      </c>
    </row>
    <row r="13" spans="1:23" x14ac:dyDescent="0.25">
      <c r="D13" t="s">
        <v>10</v>
      </c>
      <c r="E13">
        <f t="shared" si="0"/>
        <v>0.89999999999999991</v>
      </c>
      <c r="F13">
        <f t="shared" si="1"/>
        <v>2.5</v>
      </c>
      <c r="G13">
        <f t="shared" si="11"/>
        <v>1.6</v>
      </c>
      <c r="H13">
        <v>1.7</v>
      </c>
      <c r="I13">
        <v>0.8</v>
      </c>
      <c r="J13" s="12">
        <f t="shared" ca="1" si="12"/>
        <v>1.9929933344866895</v>
      </c>
      <c r="K13" t="s">
        <v>22</v>
      </c>
      <c r="L13">
        <f t="shared" ca="1" si="2"/>
        <v>0</v>
      </c>
      <c r="M13" t="str">
        <f t="shared" si="3"/>
        <v>Strawberries</v>
      </c>
      <c r="O13" s="59">
        <v>0</v>
      </c>
      <c r="P13">
        <f t="shared" si="10"/>
        <v>0</v>
      </c>
      <c r="Q13">
        <v>0</v>
      </c>
      <c r="R13">
        <f t="shared" si="4"/>
        <v>0</v>
      </c>
      <c r="S13" t="str">
        <f t="shared" si="5"/>
        <v>Strawberries</v>
      </c>
    </row>
    <row r="14" spans="1:23" x14ac:dyDescent="0.25">
      <c r="D14" t="s">
        <v>11</v>
      </c>
      <c r="E14">
        <f t="shared" si="0"/>
        <v>3.1500000000000004</v>
      </c>
      <c r="F14">
        <f t="shared" si="1"/>
        <v>8.9</v>
      </c>
      <c r="G14">
        <f t="shared" si="11"/>
        <v>5.75</v>
      </c>
      <c r="H14">
        <v>6.0250000000000004</v>
      </c>
      <c r="I14">
        <v>2.875</v>
      </c>
      <c r="J14" s="12">
        <f t="shared" ca="1" si="12"/>
        <v>5.3467128667715444</v>
      </c>
      <c r="K14" t="s">
        <v>23</v>
      </c>
      <c r="L14">
        <f t="shared" ca="1" si="2"/>
        <v>0</v>
      </c>
      <c r="M14" t="str">
        <f t="shared" si="3"/>
        <v>Tomatoes</v>
      </c>
      <c r="O14" s="59">
        <v>0</v>
      </c>
      <c r="P14">
        <f t="shared" si="10"/>
        <v>0</v>
      </c>
      <c r="Q14">
        <v>0</v>
      </c>
      <c r="R14">
        <f t="shared" si="4"/>
        <v>0</v>
      </c>
      <c r="S14" t="str">
        <f t="shared" si="5"/>
        <v>Tomatoes</v>
      </c>
    </row>
  </sheetData>
  <sortState ref="D3:S14">
    <sortCondition ref="S3"/>
  </sortState>
  <mergeCells count="4">
    <mergeCell ref="U1:V1"/>
    <mergeCell ref="O1:S1"/>
    <mergeCell ref="A1:B1"/>
    <mergeCell ref="D1:M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tabSelected="1" workbookViewId="0">
      <selection activeCell="K10" sqref="K10"/>
    </sheetView>
  </sheetViews>
  <sheetFormatPr defaultRowHeight="15" x14ac:dyDescent="0.25"/>
  <sheetData>
    <row r="1" spans="1:6" x14ac:dyDescent="0.25">
      <c r="B1" s="15" t="s">
        <v>47</v>
      </c>
      <c r="C1" s="15" t="s">
        <v>46</v>
      </c>
      <c r="D1" s="15" t="s">
        <v>45</v>
      </c>
      <c r="E1" s="15" t="s">
        <v>44</v>
      </c>
      <c r="F1" s="14" t="s">
        <v>43</v>
      </c>
    </row>
    <row r="2" spans="1:6" x14ac:dyDescent="0.25">
      <c r="A2" t="s">
        <v>42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41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40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39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38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37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36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35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34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33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32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31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15" t="s">
        <v>47</v>
      </c>
      <c r="C15" s="15" t="s">
        <v>46</v>
      </c>
      <c r="D15" s="15" t="s">
        <v>45</v>
      </c>
      <c r="E15" s="15" t="s">
        <v>44</v>
      </c>
      <c r="F15" s="14" t="s">
        <v>43</v>
      </c>
    </row>
    <row r="16" spans="1:6" x14ac:dyDescent="0.25">
      <c r="A16" t="s">
        <v>24</v>
      </c>
      <c r="B16">
        <f>E16-F16</f>
        <v>10</v>
      </c>
      <c r="C16">
        <f>E16+F16</f>
        <v>44</v>
      </c>
      <c r="D16">
        <f t="shared" ref="D16:D27" si="3">C16-B16</f>
        <v>34</v>
      </c>
      <c r="E16">
        <f>E2/100</f>
        <v>27</v>
      </c>
      <c r="F16">
        <f>F2/100</f>
        <v>17</v>
      </c>
    </row>
    <row r="17" spans="1:6" x14ac:dyDescent="0.25">
      <c r="A17" t="s">
        <v>9</v>
      </c>
      <c r="B17">
        <f>E17-F17</f>
        <v>150</v>
      </c>
      <c r="C17">
        <f>E17+F17</f>
        <v>290</v>
      </c>
      <c r="D17">
        <f t="shared" si="3"/>
        <v>140</v>
      </c>
      <c r="E17">
        <f t="shared" ref="E17:F27" si="4">E3/100</f>
        <v>220</v>
      </c>
      <c r="F17">
        <f t="shared" si="4"/>
        <v>70</v>
      </c>
    </row>
    <row r="18" spans="1:6" x14ac:dyDescent="0.25">
      <c r="A18" t="s">
        <v>12</v>
      </c>
      <c r="B18">
        <f>E18-F18</f>
        <v>4.8000000000000007</v>
      </c>
      <c r="C18">
        <f>E18+F18</f>
        <v>12.8</v>
      </c>
      <c r="D18">
        <f t="shared" si="3"/>
        <v>8</v>
      </c>
      <c r="E18">
        <f t="shared" si="4"/>
        <v>8.8000000000000007</v>
      </c>
      <c r="F18">
        <f t="shared" si="4"/>
        <v>4</v>
      </c>
    </row>
    <row r="19" spans="1:6" x14ac:dyDescent="0.25">
      <c r="A19" t="s">
        <v>10</v>
      </c>
      <c r="B19">
        <f>E19-F19</f>
        <v>55</v>
      </c>
      <c r="C19">
        <f>E19+F19</f>
        <v>130</v>
      </c>
      <c r="D19">
        <f t="shared" si="3"/>
        <v>75</v>
      </c>
      <c r="E19">
        <f t="shared" si="4"/>
        <v>92.5</v>
      </c>
      <c r="F19">
        <f t="shared" si="4"/>
        <v>37.5</v>
      </c>
    </row>
    <row r="20" spans="1:6" x14ac:dyDescent="0.25">
      <c r="A20" t="s">
        <v>14</v>
      </c>
      <c r="B20">
        <f>E20-F20</f>
        <v>0.10999999999999999</v>
      </c>
      <c r="C20">
        <f>E20+F20</f>
        <v>0.6</v>
      </c>
      <c r="D20">
        <f t="shared" si="3"/>
        <v>0.49</v>
      </c>
      <c r="E20">
        <f t="shared" si="4"/>
        <v>0.35499999999999998</v>
      </c>
      <c r="F20">
        <f t="shared" si="4"/>
        <v>0.245</v>
      </c>
    </row>
    <row r="21" spans="1:6" x14ac:dyDescent="0.25">
      <c r="A21" t="s">
        <v>13</v>
      </c>
      <c r="B21">
        <f t="shared" ref="B21:B27" si="5">E21-F21</f>
        <v>15</v>
      </c>
      <c r="C21">
        <f t="shared" ref="C21:C27" si="6">E21+F21</f>
        <v>44</v>
      </c>
      <c r="D21">
        <f t="shared" si="3"/>
        <v>29</v>
      </c>
      <c r="E21">
        <f t="shared" si="4"/>
        <v>29.5</v>
      </c>
      <c r="F21">
        <f t="shared" si="4"/>
        <v>14.5</v>
      </c>
    </row>
    <row r="22" spans="1:6" x14ac:dyDescent="0.25">
      <c r="A22" t="s">
        <v>15</v>
      </c>
      <c r="B22">
        <f t="shared" si="5"/>
        <v>5.3999999999999995</v>
      </c>
      <c r="C22">
        <f t="shared" si="6"/>
        <v>12.5</v>
      </c>
      <c r="D22">
        <f t="shared" si="3"/>
        <v>7.1000000000000005</v>
      </c>
      <c r="E22">
        <f t="shared" si="4"/>
        <v>8.9499999999999993</v>
      </c>
      <c r="F22">
        <f t="shared" si="4"/>
        <v>3.55</v>
      </c>
    </row>
    <row r="23" spans="1:6" x14ac:dyDescent="0.25">
      <c r="A23" t="s">
        <v>18</v>
      </c>
      <c r="B23">
        <f t="shared" si="5"/>
        <v>10</v>
      </c>
      <c r="C23">
        <f t="shared" si="6"/>
        <v>25</v>
      </c>
      <c r="D23">
        <f t="shared" si="3"/>
        <v>15</v>
      </c>
      <c r="E23">
        <f t="shared" si="4"/>
        <v>17.5</v>
      </c>
      <c r="F23">
        <f t="shared" si="4"/>
        <v>7.5</v>
      </c>
    </row>
    <row r="24" spans="1:6" x14ac:dyDescent="0.25">
      <c r="A24" t="s">
        <v>16</v>
      </c>
      <c r="B24">
        <f t="shared" si="5"/>
        <v>2.1999999999999997</v>
      </c>
      <c r="C24">
        <f t="shared" si="6"/>
        <v>7</v>
      </c>
      <c r="D24">
        <f t="shared" si="3"/>
        <v>4.8000000000000007</v>
      </c>
      <c r="E24">
        <f t="shared" si="4"/>
        <v>4.5999999999999996</v>
      </c>
      <c r="F24">
        <f t="shared" si="4"/>
        <v>2.4</v>
      </c>
    </row>
    <row r="25" spans="1:6" x14ac:dyDescent="0.25">
      <c r="A25" t="s">
        <v>17</v>
      </c>
      <c r="B25">
        <f t="shared" si="5"/>
        <v>6.3000000000000007</v>
      </c>
      <c r="C25">
        <f t="shared" si="6"/>
        <v>13</v>
      </c>
      <c r="D25">
        <f t="shared" si="3"/>
        <v>6.6999999999999993</v>
      </c>
      <c r="E25">
        <f t="shared" si="4"/>
        <v>9.65</v>
      </c>
      <c r="F25">
        <f t="shared" si="4"/>
        <v>3.35</v>
      </c>
    </row>
    <row r="26" spans="1:6" x14ac:dyDescent="0.25">
      <c r="A26" t="s">
        <v>8</v>
      </c>
      <c r="B26">
        <f t="shared" si="5"/>
        <v>0.89999999999999991</v>
      </c>
      <c r="C26">
        <f t="shared" si="6"/>
        <v>2.5</v>
      </c>
      <c r="D26">
        <f t="shared" si="3"/>
        <v>1.6</v>
      </c>
      <c r="E26">
        <f t="shared" si="4"/>
        <v>1.7</v>
      </c>
      <c r="F26">
        <f t="shared" si="4"/>
        <v>0.8</v>
      </c>
    </row>
    <row r="27" spans="1:6" x14ac:dyDescent="0.25">
      <c r="A27" t="s">
        <v>11</v>
      </c>
      <c r="B27">
        <f t="shared" si="5"/>
        <v>3.1500000000000004</v>
      </c>
      <c r="C27">
        <f t="shared" si="6"/>
        <v>8.9</v>
      </c>
      <c r="D27">
        <f t="shared" si="3"/>
        <v>5.75</v>
      </c>
      <c r="E27">
        <f t="shared" si="4"/>
        <v>6.0250000000000004</v>
      </c>
      <c r="F27">
        <f t="shared" si="4"/>
        <v>2.875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53" t="s">
        <v>70</v>
      </c>
      <c r="B1" s="54" t="s">
        <v>71</v>
      </c>
    </row>
    <row r="2" spans="1:2" ht="26.25" x14ac:dyDescent="0.4">
      <c r="A2" s="53"/>
      <c r="B2" s="55" t="s">
        <v>72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Play_Area</vt:lpstr>
      <vt:lpstr>Test</vt:lpstr>
      <vt:lpstr>Var_Holder</vt:lpstr>
      <vt:lpstr>Scope</vt:lpstr>
      <vt:lpstr>AvailableProducts</vt:lpstr>
      <vt:lpstr>AvgPurchPrice</vt:lpstr>
      <vt:lpstr>Buy_Amount</vt:lpstr>
      <vt:lpstr>DayProgress</vt:lpstr>
      <vt:lpstr>InventoryValue</vt:lpstr>
      <vt:lpstr>Location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Test</vt:lpstr>
      <vt:lpstr>Test_Range</vt:lpstr>
      <vt:lpstr>TotalAvgValue</vt:lpstr>
      <vt:lpstr>TotalVolumeCarried</vt:lpstr>
    </vt:vector>
  </TitlesOfParts>
  <Company>Conde Nast Publications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Flatley, Patrick</cp:lastModifiedBy>
  <dcterms:created xsi:type="dcterms:W3CDTF">2017-08-10T19:42:58Z</dcterms:created>
  <dcterms:modified xsi:type="dcterms:W3CDTF">2017-08-24T19:47:56Z</dcterms:modified>
</cp:coreProperties>
</file>