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5200" windowHeight="11835"/>
  </bookViews>
  <sheets>
    <sheet name="Play_Area" sheetId="5" r:id="rId1"/>
    <sheet name="Test" sheetId="2" r:id="rId2"/>
    <sheet name="Scope" sheetId="4" r:id="rId3"/>
    <sheet name="Var_Holder" sheetId="3" r:id="rId4"/>
    <sheet name="Sheet1" sheetId="6" r:id="rId5"/>
  </sheets>
  <functionGroups builtInGroupCount="18"/>
  <definedNames>
    <definedName name="DayProgress">Var_Holder!$B$3</definedName>
    <definedName name="Location">Var_Holder!$B$2</definedName>
    <definedName name="MoneyOnHandVariable">Var_Holder!$B$1</definedName>
    <definedName name="PriceList">Var_Holder!$H$2:$H$13</definedName>
    <definedName name="PriceMod">Var_Holder!$M$2:$M$9</definedName>
    <definedName name="PriceModLocation">Var_Holder!$L$2:$L$9</definedName>
    <definedName name="ProductPriceList">Var_Holder!$D$2:$D$13</definedName>
    <definedName name="Test_Range">"Test"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6" l="1"/>
  <c r="C27" i="6"/>
  <c r="B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F7" i="6"/>
  <c r="E7" i="6"/>
  <c r="D7" i="6"/>
  <c r="F6" i="6"/>
  <c r="E6" i="6"/>
  <c r="D6" i="6"/>
  <c r="F5" i="6"/>
  <c r="E5" i="6"/>
  <c r="D5" i="6"/>
  <c r="F4" i="6"/>
  <c r="E4" i="6"/>
  <c r="D4" i="6"/>
  <c r="F3" i="6"/>
  <c r="E3" i="6"/>
  <c r="D3" i="6"/>
  <c r="F2" i="6"/>
  <c r="E2" i="6"/>
  <c r="D2" i="6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I2" i="2"/>
  <c r="C2" i="2"/>
  <c r="E17" i="5"/>
  <c r="E16" i="5"/>
  <c r="E15" i="5"/>
  <c r="E14" i="5"/>
  <c r="E13" i="5"/>
  <c r="AB12" i="5"/>
  <c r="E12" i="5"/>
  <c r="E11" i="5"/>
  <c r="E10" i="5"/>
  <c r="E9" i="5"/>
  <c r="E8" i="5"/>
  <c r="E7" i="5"/>
  <c r="E6" i="5"/>
  <c r="AB3" i="5"/>
  <c r="AB2" i="5"/>
</calcChain>
</file>

<file path=xl/sharedStrings.xml><?xml version="1.0" encoding="utf-8"?>
<sst xmlns="http://schemas.openxmlformats.org/spreadsheetml/2006/main" count="142" uniqueCount="56">
  <si>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</si>
  <si>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</si>
  <si>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</si>
  <si>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</si>
  <si>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</si>
  <si>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</si>
  <si>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</si>
  <si>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</si>
  <si>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</si>
  <si>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</si>
  <si>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</si>
  <si>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</si>
  <si>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</si>
  <si>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</si>
  <si>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</si>
  <si>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</si>
  <si>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</si>
  <si>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</si>
  <si>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</si>
  <si>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Base Price</t>
  </si>
  <si>
    <t>Products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</si>
  <si>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</si>
  <si>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</si>
  <si>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</si>
  <si>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</si>
  <si>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</si>
  <si>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</si>
  <si>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</si>
  <si>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</si>
  <si>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</si>
  <si>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</si>
  <si>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</si>
  <si>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Locations</t>
  </si>
  <si>
    <t>Price Modification</t>
  </si>
  <si>
    <t>Multiplier</t>
  </si>
  <si>
    <t>Weed   </t>
  </si>
  <si>
    <t>Speed   </t>
  </si>
  <si>
    <t>Shrooms   </t>
  </si>
  <si>
    <t>Peyote   </t>
  </si>
  <si>
    <t>PCP   </t>
  </si>
  <si>
    <t>Opium   </t>
  </si>
  <si>
    <t>MDA   </t>
  </si>
  <si>
    <t>Ludes   </t>
  </si>
  <si>
    <t>Heroin   </t>
  </si>
  <si>
    <t>Hashish   </t>
  </si>
  <si>
    <t>Cocaine   </t>
  </si>
  <si>
    <t>Acid   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</si>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</sst>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3" formatCode="_(* #,##0.00_);_(* \(#,##0.00\);_(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15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 style="thin">
        <color rgb="FFFFB000"/>
      </left>
      <right/>
      <top/>
      <bottom/>
      <diagonal/>
    </border>
    <border>
      <left/>
      <right/>
      <top/>
      <bottom style="thin">
        <color rgb="FFFFB000"/>
      </bottom>
      <diagonal/>
    </border>
    <border>
      <left style="thin">
        <color rgb="FFFFB000"/>
      </left>
      <right/>
      <top/>
      <bottom style="thin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4" fillId="2" borderId="10" xfId="0" applyFont="1" applyFill="1" applyBorder="1"/>
    <xf numFmtId="164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0" fontId="5" fillId="2" borderId="13" xfId="0" applyFont="1" applyFill="1" applyBorder="1" applyAlignment="1">
      <alignment horizontal="center"/>
    </xf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2" borderId="14" xfId="0" applyFont="1" applyFill="1" applyBorder="1"/>
    <xf numFmtId="0" fontId="4" fillId="2" borderId="6" xfId="0" applyFont="1" applyFill="1" applyBorder="1" applyAlignment="1">
      <alignment horizontal="right"/>
    </xf>
    <xf numFmtId="164" fontId="4" fillId="2" borderId="7" xfId="1" applyNumberFormat="1" applyFont="1" applyFill="1" applyBorder="1" applyAlignment="1">
      <alignment horizontal="center" vertical="top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/>
    </xf>
    <xf numFmtId="0" fontId="6" fillId="4" borderId="0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8</xdr:row>
      <xdr:rowOff>0</xdr:rowOff>
    </xdr:from>
    <xdr:to>
      <xdr:col>28</xdr:col>
      <xdr:colOff>0</xdr:colOff>
      <xdr:row>9</xdr:row>
      <xdr:rowOff>0</xdr:rowOff>
    </xdr:to>
    <xdr:sp macro="[0]!MoveArea" textlink="">
      <xdr:nvSpPr>
        <xdr:cNvPr id="2" name="Rectangle 1"/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</a:rPr>
            <a:t>Location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30"/>
  <sheetViews>
    <sheetView tabSelected="1" workbookViewId="0">
      <selection activeCell="AA6" sqref="AA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26" width="2.85546875" style="2" customWidth="1"/>
    <col min="27" max="27" width="23.5703125" style="2" bestFit="1" customWidth="1"/>
    <col min="28" max="28" width="24.85546875" style="2" bestFit="1" customWidth="1"/>
    <col min="29" max="30" width="2.85546875" style="2" customWidth="1"/>
    <col min="31" max="46" width="0" style="2" hidden="1" customWidth="1"/>
    <col min="47" max="16384" width="2.85546875" style="2" hidden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6.5" thickBot="1" x14ac:dyDescent="0.3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28" t="s">
        <v>28</v>
      </c>
      <c r="AB2" s="3" t="str">
        <f>Location</f>
        <v>Bryant Park</v>
      </c>
      <c r="AC2" s="3"/>
      <c r="AD2" s="1"/>
    </row>
    <row r="3" spans="1:30" ht="16.5" thickTop="1" x14ac:dyDescent="0.3">
      <c r="A3" s="1"/>
      <c r="B3" s="3"/>
      <c r="C3" s="7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9"/>
      <c r="Z3" s="3"/>
      <c r="AA3" s="28" t="s">
        <v>54</v>
      </c>
      <c r="AB3" s="27">
        <f>DayProgress</f>
        <v>8</v>
      </c>
      <c r="AC3" s="3"/>
      <c r="AD3" s="1"/>
    </row>
    <row r="4" spans="1:30" ht="15.75" x14ac:dyDescent="0.3">
      <c r="A4" s="1"/>
      <c r="B4" s="3"/>
      <c r="C4" s="10"/>
      <c r="D4" s="29" t="s">
        <v>52</v>
      </c>
      <c r="E4" s="29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11"/>
      <c r="Z4" s="3"/>
      <c r="AA4" s="3"/>
      <c r="AB4" s="3"/>
      <c r="AC4" s="3"/>
      <c r="AD4" s="1"/>
    </row>
    <row r="5" spans="1:30" ht="15.75" x14ac:dyDescent="0.3">
      <c r="A5" s="1"/>
      <c r="B5" s="3"/>
      <c r="C5" s="10"/>
      <c r="D5" s="17" t="s">
        <v>53</v>
      </c>
      <c r="E5" s="18" t="s">
        <v>31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11"/>
      <c r="Z5" s="3"/>
      <c r="AA5" s="5" t="s">
        <v>30</v>
      </c>
      <c r="AB5" s="5" t="s">
        <v>3</v>
      </c>
      <c r="AC5" s="3"/>
      <c r="AD5" s="1"/>
    </row>
    <row r="6" spans="1:30" x14ac:dyDescent="0.25">
      <c r="A6" s="1"/>
      <c r="B6" s="3"/>
      <c r="C6" s="10"/>
      <c r="D6" s="16" t="s">
        <v>26</v>
      </c>
      <c r="E6" s="15">
        <f>PriceCalc(D6)</f>
        <v>27.96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11"/>
      <c r="Z6" s="3"/>
      <c r="AA6" s="5" t="s">
        <v>2</v>
      </c>
      <c r="AB6" s="5" t="s">
        <v>7</v>
      </c>
      <c r="AC6" s="3"/>
      <c r="AD6" s="1"/>
    </row>
    <row r="7" spans="1:30" x14ac:dyDescent="0.25">
      <c r="A7" s="1"/>
      <c r="B7" s="3"/>
      <c r="C7" s="10"/>
      <c r="D7" s="16" t="s">
        <v>14</v>
      </c>
      <c r="E7" s="15">
        <f t="shared" ref="E7:E16" si="0">PriceCalc(D7)</f>
        <v>3.32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11"/>
      <c r="Z7" s="3"/>
      <c r="AA7" s="5" t="s">
        <v>1</v>
      </c>
      <c r="AB7" s="5" t="s">
        <v>4</v>
      </c>
      <c r="AC7" s="3"/>
      <c r="AD7" s="1"/>
    </row>
    <row r="8" spans="1:30" x14ac:dyDescent="0.25">
      <c r="A8" s="1"/>
      <c r="B8" s="3"/>
      <c r="C8" s="10"/>
      <c r="D8" s="16" t="s">
        <v>12</v>
      </c>
      <c r="E8" s="15">
        <f t="shared" si="0"/>
        <v>9.39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11"/>
      <c r="Z8" s="3"/>
      <c r="AA8" s="5" t="s">
        <v>6</v>
      </c>
      <c r="AB8" s="5" t="s">
        <v>5</v>
      </c>
      <c r="AC8" s="3"/>
      <c r="AD8" s="1"/>
    </row>
    <row r="9" spans="1:30" x14ac:dyDescent="0.25">
      <c r="A9" s="1"/>
      <c r="B9" s="3"/>
      <c r="C9" s="10"/>
      <c r="D9" s="16" t="s">
        <v>8</v>
      </c>
      <c r="E9" s="15">
        <f t="shared" si="0"/>
        <v>2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11"/>
      <c r="Z9" s="3"/>
      <c r="AA9" s="21"/>
      <c r="AB9" s="21"/>
      <c r="AC9" s="3"/>
      <c r="AD9" s="1"/>
    </row>
    <row r="10" spans="1:30" ht="15.75" thickBot="1" x14ac:dyDescent="0.3">
      <c r="A10" s="1"/>
      <c r="B10" s="3"/>
      <c r="C10" s="10"/>
      <c r="D10" s="16" t="s">
        <v>9</v>
      </c>
      <c r="E10" s="15">
        <f t="shared" si="0"/>
        <v>220.32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11"/>
      <c r="Z10" s="3"/>
      <c r="AA10" s="3"/>
      <c r="AB10" s="3"/>
      <c r="AC10" s="3"/>
      <c r="AD10" s="1"/>
    </row>
    <row r="11" spans="1:30" ht="15.75" thickTop="1" x14ac:dyDescent="0.25">
      <c r="A11" s="1"/>
      <c r="B11" s="3"/>
      <c r="C11" s="10"/>
      <c r="D11" s="16" t="s">
        <v>13</v>
      </c>
      <c r="E11" s="15">
        <f t="shared" si="0"/>
        <v>30.26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11"/>
      <c r="Z11" s="3"/>
      <c r="AA11" s="7"/>
      <c r="AB11" s="9"/>
      <c r="AC11" s="3"/>
      <c r="AD11" s="1"/>
    </row>
    <row r="12" spans="1:30" x14ac:dyDescent="0.25">
      <c r="A12" s="1"/>
      <c r="B12" s="3"/>
      <c r="C12" s="10"/>
      <c r="D12" s="16" t="s">
        <v>15</v>
      </c>
      <c r="E12" s="15">
        <f t="shared" si="0"/>
        <v>9.27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11"/>
      <c r="Z12" s="3"/>
      <c r="AA12" s="25" t="s">
        <v>27</v>
      </c>
      <c r="AB12" s="26">
        <f>MoneyOnHandVariable</f>
        <v>3002</v>
      </c>
      <c r="AC12" s="3"/>
      <c r="AD12" s="1"/>
    </row>
    <row r="13" spans="1:30" x14ac:dyDescent="0.25">
      <c r="A13" s="1"/>
      <c r="B13" s="3"/>
      <c r="C13" s="10"/>
      <c r="D13" s="16" t="s">
        <v>18</v>
      </c>
      <c r="E13" s="15">
        <f t="shared" si="0"/>
        <v>17.63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11"/>
      <c r="Z13" s="3"/>
      <c r="AA13" s="10"/>
      <c r="AB13" s="11"/>
      <c r="AC13" s="3"/>
      <c r="AD13" s="1"/>
    </row>
    <row r="14" spans="1:30" x14ac:dyDescent="0.25">
      <c r="A14" s="1"/>
      <c r="B14" s="3"/>
      <c r="C14" s="10"/>
      <c r="D14" s="16" t="s">
        <v>16</v>
      </c>
      <c r="E14" s="15">
        <f t="shared" si="0"/>
        <v>5.27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11"/>
      <c r="Z14" s="3"/>
      <c r="AA14" s="10"/>
      <c r="AB14" s="11"/>
      <c r="AC14" s="3"/>
      <c r="AD14" s="1"/>
    </row>
    <row r="15" spans="1:30" x14ac:dyDescent="0.25">
      <c r="A15" s="1"/>
      <c r="B15" s="3"/>
      <c r="C15" s="10"/>
      <c r="D15" s="16" t="s">
        <v>17</v>
      </c>
      <c r="E15" s="15">
        <f t="shared" si="0"/>
        <v>10.28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11"/>
      <c r="Z15" s="3"/>
      <c r="AA15" s="10"/>
      <c r="AB15" s="11"/>
      <c r="AC15" s="3"/>
      <c r="AD15" s="1"/>
    </row>
    <row r="16" spans="1:30" x14ac:dyDescent="0.25">
      <c r="A16" s="1"/>
      <c r="B16" s="3"/>
      <c r="C16" s="10"/>
      <c r="D16" s="16" t="s">
        <v>10</v>
      </c>
      <c r="E16" s="15">
        <f t="shared" si="0"/>
        <v>92.84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11"/>
      <c r="Z16" s="3"/>
      <c r="AA16" s="10"/>
      <c r="AB16" s="11"/>
      <c r="AC16" s="3"/>
      <c r="AD16" s="1"/>
    </row>
    <row r="17" spans="1:30" x14ac:dyDescent="0.25">
      <c r="A17" s="1"/>
      <c r="B17" s="3"/>
      <c r="C17" s="10"/>
      <c r="D17" s="16" t="s">
        <v>11</v>
      </c>
      <c r="E17" s="15">
        <f>PriceCalc(D17)</f>
        <v>6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11"/>
      <c r="Z17" s="3"/>
      <c r="AA17" s="10"/>
      <c r="AB17" s="11"/>
      <c r="AC17" s="3"/>
      <c r="AD17" s="1"/>
    </row>
    <row r="18" spans="1:30" x14ac:dyDescent="0.25">
      <c r="A18" s="1"/>
      <c r="B18" s="3"/>
      <c r="C18" s="10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11"/>
      <c r="Z18" s="3"/>
      <c r="AA18" s="10"/>
      <c r="AB18" s="11"/>
      <c r="AC18" s="3"/>
      <c r="AD18" s="1"/>
    </row>
    <row r="19" spans="1:30" x14ac:dyDescent="0.25">
      <c r="A19" s="1"/>
      <c r="B19" s="3"/>
      <c r="C19" s="10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11"/>
      <c r="Z19" s="3"/>
      <c r="AA19" s="10"/>
      <c r="AB19" s="11"/>
      <c r="AC19" s="3"/>
      <c r="AD19" s="1"/>
    </row>
    <row r="20" spans="1:30" x14ac:dyDescent="0.25">
      <c r="A20" s="1"/>
      <c r="B20" s="3"/>
      <c r="C20" s="10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11"/>
      <c r="Z20" s="3"/>
      <c r="AA20" s="10"/>
      <c r="AB20" s="11"/>
      <c r="AC20" s="3"/>
      <c r="AD20" s="1"/>
    </row>
    <row r="21" spans="1:30" x14ac:dyDescent="0.25">
      <c r="A21" s="1"/>
      <c r="B21" s="3"/>
      <c r="C21" s="10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11"/>
      <c r="Z21" s="3"/>
      <c r="AA21" s="10"/>
      <c r="AB21" s="11"/>
      <c r="AC21" s="3"/>
      <c r="AD21" s="1"/>
    </row>
    <row r="22" spans="1:30" x14ac:dyDescent="0.25">
      <c r="A22" s="1"/>
      <c r="B22" s="3"/>
      <c r="C22" s="10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11"/>
      <c r="Z22" s="3"/>
      <c r="AA22" s="10"/>
      <c r="AB22" s="11"/>
      <c r="AC22" s="3"/>
      <c r="AD22" s="1"/>
    </row>
    <row r="23" spans="1:30" ht="15.75" thickBot="1" x14ac:dyDescent="0.3">
      <c r="A23" s="1"/>
      <c r="B23" s="3"/>
      <c r="C23" s="10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11"/>
      <c r="Z23" s="3"/>
      <c r="AA23" s="10"/>
      <c r="AB23" s="11"/>
      <c r="AC23" s="3"/>
      <c r="AD23" s="1"/>
    </row>
    <row r="24" spans="1:30" ht="16.5" thickTop="1" thickBot="1" x14ac:dyDescent="0.3">
      <c r="A24" s="1"/>
      <c r="B24" s="3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3"/>
      <c r="AA24" s="10"/>
      <c r="AB24" s="11"/>
      <c r="AC24" s="3"/>
      <c r="AD24" s="1"/>
    </row>
    <row r="25" spans="1:30" ht="15.75" thickTop="1" x14ac:dyDescent="0.25">
      <c r="A25" s="1"/>
      <c r="B25" s="3"/>
      <c r="C25" s="7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9"/>
      <c r="Z25" s="3"/>
      <c r="AA25" s="10"/>
      <c r="AB25" s="11"/>
      <c r="AC25" s="3"/>
      <c r="AD25" s="1"/>
    </row>
    <row r="26" spans="1:30" x14ac:dyDescent="0.25">
      <c r="A26" s="1"/>
      <c r="B26" s="3"/>
      <c r="C26" s="10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11"/>
      <c r="Z26" s="3"/>
      <c r="AA26" s="10"/>
      <c r="AB26" s="11"/>
      <c r="AC26" s="3"/>
      <c r="AD26" s="1"/>
    </row>
    <row r="27" spans="1:30" x14ac:dyDescent="0.25">
      <c r="A27" s="1"/>
      <c r="B27" s="3"/>
      <c r="C27" s="10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11"/>
      <c r="Z27" s="3"/>
      <c r="AA27" s="10"/>
      <c r="AB27" s="11"/>
      <c r="AC27" s="3"/>
      <c r="AD27" s="1"/>
    </row>
    <row r="28" spans="1:30" ht="15.75" thickBot="1" x14ac:dyDescent="0.3">
      <c r="A28" s="1"/>
      <c r="B28" s="3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4"/>
      <c r="Z28" s="3"/>
      <c r="AA28" s="12"/>
      <c r="AB28" s="14"/>
      <c r="AC28" s="3"/>
      <c r="AD28" s="1"/>
    </row>
    <row r="29" spans="1:30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</sheetData>
  <mergeCells count="1">
    <mergeCell ref="D4:E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I2"/>
  <sheetViews>
    <sheetView workbookViewId="0">
      <selection activeCell="C2" sqref="C2"/>
    </sheetView>
  </sheetViews>
  <sheetFormatPr defaultRowHeight="15" x14ac:dyDescent="0.25"/>
  <sheetData>
    <row r="2" spans="3:9" x14ac:dyDescent="0.25">
      <c r="C2">
        <f>MoneyOnHand()</f>
        <v>3002</v>
      </c>
      <c r="I2" t="str">
        <f>Location</f>
        <v>Bryant Park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3"/>
  <sheetViews>
    <sheetView workbookViewId="0">
      <selection activeCell="A2" sqref="A2:A9"/>
    </sheetView>
  </sheetViews>
  <sheetFormatPr defaultRowHeight="15" x14ac:dyDescent="0.25"/>
  <cols>
    <col min="1" max="1" width="18.7109375" bestFit="1" customWidth="1"/>
    <col min="2" max="2" width="18.7109375" customWidth="1"/>
    <col min="4" max="4" width="12.28515625" bestFit="1" customWidth="1"/>
    <col min="6" max="6" width="10" bestFit="1" customWidth="1"/>
  </cols>
  <sheetData>
    <row r="1" spans="1:7" x14ac:dyDescent="0.25">
      <c r="A1" t="s">
        <v>32</v>
      </c>
      <c r="B1" t="s">
        <v>33</v>
      </c>
      <c r="D1" t="s">
        <v>20</v>
      </c>
      <c r="E1" t="s">
        <v>21</v>
      </c>
      <c r="F1" t="s">
        <v>19</v>
      </c>
      <c r="G1" t="s">
        <v>34</v>
      </c>
    </row>
    <row r="2" spans="1:7" x14ac:dyDescent="0.25">
      <c r="A2" t="s">
        <v>30</v>
      </c>
      <c r="B2" s="19">
        <v>1</v>
      </c>
      <c r="D2" t="s">
        <v>26</v>
      </c>
      <c r="E2" t="s">
        <v>24</v>
      </c>
      <c r="F2">
        <v>9.82</v>
      </c>
      <c r="G2">
        <v>4.4000000000000004</v>
      </c>
    </row>
    <row r="3" spans="1:7" x14ac:dyDescent="0.25">
      <c r="A3" t="s">
        <v>2</v>
      </c>
      <c r="B3" s="19">
        <v>2</v>
      </c>
      <c r="D3" t="s">
        <v>14</v>
      </c>
      <c r="E3" t="s">
        <v>22</v>
      </c>
      <c r="F3">
        <v>3.03</v>
      </c>
      <c r="G3">
        <v>1.9</v>
      </c>
    </row>
    <row r="4" spans="1:7" x14ac:dyDescent="0.25">
      <c r="A4" t="s">
        <v>1</v>
      </c>
      <c r="B4" s="19">
        <v>10</v>
      </c>
      <c r="D4" t="s">
        <v>12</v>
      </c>
      <c r="E4" t="s">
        <v>25</v>
      </c>
      <c r="F4">
        <v>2.5</v>
      </c>
      <c r="G4">
        <v>2.5</v>
      </c>
    </row>
    <row r="5" spans="1:7" x14ac:dyDescent="0.25">
      <c r="A5" t="s">
        <v>6</v>
      </c>
      <c r="B5" s="19">
        <v>1</v>
      </c>
      <c r="D5" t="s">
        <v>8</v>
      </c>
      <c r="E5" t="s">
        <v>22</v>
      </c>
      <c r="F5">
        <v>1.3</v>
      </c>
      <c r="G5">
        <v>2.2999999999999998</v>
      </c>
    </row>
    <row r="6" spans="1:7" x14ac:dyDescent="0.25">
      <c r="A6" t="s">
        <v>3</v>
      </c>
      <c r="B6" s="19">
        <v>8</v>
      </c>
      <c r="D6" t="s">
        <v>9</v>
      </c>
      <c r="E6" t="s">
        <v>23</v>
      </c>
      <c r="F6">
        <v>2.52</v>
      </c>
      <c r="G6">
        <v>5.4</v>
      </c>
    </row>
    <row r="7" spans="1:7" x14ac:dyDescent="0.25">
      <c r="A7" t="s">
        <v>7</v>
      </c>
      <c r="B7" s="19">
        <v>8</v>
      </c>
      <c r="D7" t="s">
        <v>13</v>
      </c>
      <c r="E7" t="s">
        <v>24</v>
      </c>
      <c r="F7">
        <v>6.25</v>
      </c>
      <c r="G7">
        <v>2.9</v>
      </c>
    </row>
    <row r="8" spans="1:7" x14ac:dyDescent="0.25">
      <c r="A8" t="s">
        <v>4</v>
      </c>
      <c r="B8" s="19">
        <v>10</v>
      </c>
      <c r="D8" t="s">
        <v>15</v>
      </c>
      <c r="E8" t="s">
        <v>25</v>
      </c>
      <c r="F8">
        <v>1.68</v>
      </c>
      <c r="G8">
        <v>2.2999999999999998</v>
      </c>
    </row>
    <row r="9" spans="1:7" x14ac:dyDescent="0.25">
      <c r="A9" t="s">
        <v>5</v>
      </c>
      <c r="B9" s="19">
        <v>5</v>
      </c>
      <c r="D9" t="s">
        <v>18</v>
      </c>
      <c r="E9" t="s">
        <v>25</v>
      </c>
      <c r="F9">
        <v>8.2200000000000006</v>
      </c>
      <c r="G9">
        <v>2.5</v>
      </c>
    </row>
    <row r="10" spans="1:7" x14ac:dyDescent="0.25">
      <c r="D10" t="s">
        <v>16</v>
      </c>
      <c r="E10" t="s">
        <v>25</v>
      </c>
      <c r="F10">
        <v>3.24</v>
      </c>
      <c r="G10">
        <v>3.1</v>
      </c>
    </row>
    <row r="11" spans="1:7" x14ac:dyDescent="0.25">
      <c r="D11" t="s">
        <v>17</v>
      </c>
      <c r="E11" t="s">
        <v>25</v>
      </c>
      <c r="F11">
        <v>1.62</v>
      </c>
      <c r="G11">
        <v>2</v>
      </c>
    </row>
    <row r="12" spans="1:7" x14ac:dyDescent="0.25">
      <c r="D12" t="s">
        <v>10</v>
      </c>
      <c r="E12" t="s">
        <v>24</v>
      </c>
      <c r="F12">
        <v>3.44</v>
      </c>
      <c r="G12">
        <v>2.8</v>
      </c>
    </row>
    <row r="13" spans="1:7" x14ac:dyDescent="0.25">
      <c r="D13" t="s">
        <v>11</v>
      </c>
      <c r="E13" t="s">
        <v>25</v>
      </c>
      <c r="F13">
        <v>6.67</v>
      </c>
      <c r="G13">
        <v>2.8</v>
      </c>
    </row>
  </sheetData>
  <sortState ref="D2:F13">
    <sortCondition ref="D1"/>
  </sortState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3"/>
  <sheetViews>
    <sheetView workbookViewId="0">
      <selection activeCell="B3" sqref="B3"/>
    </sheetView>
  </sheetViews>
  <sheetFormatPr defaultRowHeight="15" x14ac:dyDescent="0.25"/>
  <cols>
    <col min="1" max="1" width="18.7109375" bestFit="1" customWidth="1"/>
    <col min="2" max="2" width="11.7109375" bestFit="1" customWidth="1"/>
    <col min="12" max="12" width="19.42578125" bestFit="1" customWidth="1"/>
    <col min="13" max="13" width="17.42578125" bestFit="1" customWidth="1"/>
  </cols>
  <sheetData>
    <row r="1" spans="1:13" x14ac:dyDescent="0.25">
      <c r="A1" t="s">
        <v>0</v>
      </c>
      <c r="B1" s="4">
        <v>3002</v>
      </c>
      <c r="E1" s="23" t="s">
        <v>51</v>
      </c>
      <c r="F1" s="23" t="s">
        <v>50</v>
      </c>
      <c r="G1" s="23" t="s">
        <v>49</v>
      </c>
      <c r="H1" s="23" t="s">
        <v>48</v>
      </c>
      <c r="I1" s="22" t="s">
        <v>47</v>
      </c>
      <c r="J1" t="s">
        <v>21</v>
      </c>
      <c r="L1" t="s">
        <v>32</v>
      </c>
      <c r="M1" t="s">
        <v>33</v>
      </c>
    </row>
    <row r="2" spans="1:13" x14ac:dyDescent="0.25">
      <c r="A2" t="s">
        <v>29</v>
      </c>
      <c r="B2" s="20" t="s">
        <v>2</v>
      </c>
      <c r="D2" t="s">
        <v>26</v>
      </c>
      <c r="E2">
        <f t="shared" ref="E2:E5" si="0">H2-I2</f>
        <v>10.96</v>
      </c>
      <c r="F2">
        <f t="shared" ref="F2:F5" si="1">H2+I2</f>
        <v>44.96</v>
      </c>
      <c r="G2">
        <f t="shared" ref="G2:G13" si="2">F2-E2</f>
        <v>34</v>
      </c>
      <c r="H2">
        <v>27.96</v>
      </c>
      <c r="I2">
        <v>17</v>
      </c>
      <c r="J2" t="s">
        <v>24</v>
      </c>
      <c r="L2" t="s">
        <v>30</v>
      </c>
      <c r="M2" s="19">
        <v>1</v>
      </c>
    </row>
    <row r="3" spans="1:13" x14ac:dyDescent="0.25">
      <c r="A3" t="s">
        <v>55</v>
      </c>
      <c r="B3">
        <v>8</v>
      </c>
      <c r="D3" t="s">
        <v>9</v>
      </c>
      <c r="E3">
        <f t="shared" si="0"/>
        <v>150.32</v>
      </c>
      <c r="F3">
        <f t="shared" si="1"/>
        <v>290.32</v>
      </c>
      <c r="G3">
        <f t="shared" si="2"/>
        <v>140</v>
      </c>
      <c r="H3">
        <v>220.32</v>
      </c>
      <c r="I3">
        <v>70</v>
      </c>
      <c r="J3" t="s">
        <v>23</v>
      </c>
      <c r="L3" t="s">
        <v>2</v>
      </c>
      <c r="M3" s="19">
        <v>1</v>
      </c>
    </row>
    <row r="4" spans="1:13" x14ac:dyDescent="0.25">
      <c r="D4" t="s">
        <v>12</v>
      </c>
      <c r="E4">
        <f t="shared" si="0"/>
        <v>5.3900000000000006</v>
      </c>
      <c r="F4">
        <f t="shared" si="1"/>
        <v>13.39</v>
      </c>
      <c r="G4">
        <f t="shared" si="2"/>
        <v>8</v>
      </c>
      <c r="H4">
        <v>9.39</v>
      </c>
      <c r="I4">
        <v>4</v>
      </c>
      <c r="J4" t="s">
        <v>25</v>
      </c>
      <c r="L4" t="s">
        <v>1</v>
      </c>
      <c r="M4" s="19">
        <v>1</v>
      </c>
    </row>
    <row r="5" spans="1:13" x14ac:dyDescent="0.25">
      <c r="D5" t="s">
        <v>10</v>
      </c>
      <c r="E5">
        <f t="shared" si="0"/>
        <v>55.34</v>
      </c>
      <c r="F5">
        <f t="shared" si="1"/>
        <v>130.34</v>
      </c>
      <c r="G5">
        <f t="shared" si="2"/>
        <v>75</v>
      </c>
      <c r="H5">
        <v>92.84</v>
      </c>
      <c r="I5">
        <v>37.5</v>
      </c>
      <c r="J5" t="s">
        <v>24</v>
      </c>
      <c r="L5" t="s">
        <v>6</v>
      </c>
      <c r="M5" s="19">
        <v>1</v>
      </c>
    </row>
    <row r="6" spans="1:13" x14ac:dyDescent="0.25">
      <c r="D6" t="s">
        <v>14</v>
      </c>
      <c r="E6">
        <f>H6-I6</f>
        <v>0.81999999999999984</v>
      </c>
      <c r="F6">
        <f>H6+I6</f>
        <v>5.82</v>
      </c>
      <c r="G6">
        <f t="shared" si="2"/>
        <v>5</v>
      </c>
      <c r="H6">
        <v>3.32</v>
      </c>
      <c r="I6">
        <v>2.5</v>
      </c>
      <c r="J6" t="s">
        <v>22</v>
      </c>
      <c r="L6" t="s">
        <v>3</v>
      </c>
      <c r="M6" s="19">
        <v>1</v>
      </c>
    </row>
    <row r="7" spans="1:13" x14ac:dyDescent="0.25">
      <c r="D7" t="s">
        <v>13</v>
      </c>
      <c r="E7">
        <f t="shared" ref="E7:E13" si="3">H7-I7</f>
        <v>15.760000000000002</v>
      </c>
      <c r="F7">
        <f t="shared" ref="F7:F13" si="4">H7+I7</f>
        <v>44.760000000000005</v>
      </c>
      <c r="G7">
        <f t="shared" si="2"/>
        <v>29.000000000000004</v>
      </c>
      <c r="H7">
        <v>30.26</v>
      </c>
      <c r="I7">
        <v>14.5</v>
      </c>
      <c r="J7" t="s">
        <v>24</v>
      </c>
      <c r="L7" t="s">
        <v>7</v>
      </c>
      <c r="M7" s="19">
        <v>1</v>
      </c>
    </row>
    <row r="8" spans="1:13" x14ac:dyDescent="0.25">
      <c r="D8" t="s">
        <v>15</v>
      </c>
      <c r="E8">
        <f t="shared" si="3"/>
        <v>5.72</v>
      </c>
      <c r="F8">
        <f t="shared" si="4"/>
        <v>12.82</v>
      </c>
      <c r="G8">
        <f t="shared" si="2"/>
        <v>7.1000000000000005</v>
      </c>
      <c r="H8">
        <v>9.27</v>
      </c>
      <c r="I8">
        <v>3.55</v>
      </c>
      <c r="J8" t="s">
        <v>25</v>
      </c>
      <c r="L8" t="s">
        <v>4</v>
      </c>
      <c r="M8" s="19">
        <v>1</v>
      </c>
    </row>
    <row r="9" spans="1:13" x14ac:dyDescent="0.25">
      <c r="D9" t="s">
        <v>18</v>
      </c>
      <c r="E9">
        <f t="shared" si="3"/>
        <v>10.129999999999999</v>
      </c>
      <c r="F9">
        <f t="shared" si="4"/>
        <v>25.13</v>
      </c>
      <c r="G9">
        <f t="shared" si="2"/>
        <v>15</v>
      </c>
      <c r="H9">
        <v>17.63</v>
      </c>
      <c r="I9">
        <v>7.5</v>
      </c>
      <c r="J9" t="s">
        <v>25</v>
      </c>
      <c r="L9" t="s">
        <v>5</v>
      </c>
      <c r="M9" s="19">
        <v>1</v>
      </c>
    </row>
    <row r="10" spans="1:13" x14ac:dyDescent="0.25">
      <c r="D10" t="s">
        <v>16</v>
      </c>
      <c r="E10">
        <f t="shared" si="3"/>
        <v>2.8699999999999997</v>
      </c>
      <c r="F10">
        <f t="shared" si="4"/>
        <v>7.67</v>
      </c>
      <c r="G10">
        <f t="shared" si="2"/>
        <v>4.8000000000000007</v>
      </c>
      <c r="H10">
        <v>5.27</v>
      </c>
      <c r="I10">
        <v>2.4</v>
      </c>
      <c r="J10" t="s">
        <v>25</v>
      </c>
    </row>
    <row r="11" spans="1:13" x14ac:dyDescent="0.25">
      <c r="D11" t="s">
        <v>17</v>
      </c>
      <c r="E11">
        <f t="shared" si="3"/>
        <v>6.93</v>
      </c>
      <c r="F11">
        <f t="shared" si="4"/>
        <v>13.629999999999999</v>
      </c>
      <c r="G11">
        <f t="shared" si="2"/>
        <v>6.6999999999999993</v>
      </c>
      <c r="H11">
        <v>10.28</v>
      </c>
      <c r="I11">
        <v>3.35</v>
      </c>
      <c r="J11" t="s">
        <v>25</v>
      </c>
    </row>
    <row r="12" spans="1:13" x14ac:dyDescent="0.25">
      <c r="D12" t="s">
        <v>8</v>
      </c>
      <c r="E12">
        <f t="shared" si="3"/>
        <v>1</v>
      </c>
      <c r="F12">
        <f t="shared" si="4"/>
        <v>3</v>
      </c>
      <c r="G12">
        <f t="shared" si="2"/>
        <v>2</v>
      </c>
      <c r="H12">
        <v>2</v>
      </c>
      <c r="I12">
        <v>1</v>
      </c>
      <c r="J12" t="s">
        <v>22</v>
      </c>
    </row>
    <row r="13" spans="1:13" x14ac:dyDescent="0.25">
      <c r="D13" t="s">
        <v>11</v>
      </c>
      <c r="E13">
        <f t="shared" si="3"/>
        <v>3.125</v>
      </c>
      <c r="F13">
        <f t="shared" si="4"/>
        <v>8.875</v>
      </c>
      <c r="G13">
        <f t="shared" si="2"/>
        <v>5.75</v>
      </c>
      <c r="H13">
        <v>6</v>
      </c>
      <c r="I13">
        <v>2.875</v>
      </c>
      <c r="J1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workbookViewId="0">
      <selection activeCell="A15" sqref="A15:F27"/>
    </sheetView>
  </sheetViews>
  <sheetFormatPr defaultRowHeight="15" x14ac:dyDescent="0.25"/>
  <sheetData>
    <row r="1" spans="1:6" x14ac:dyDescent="0.25">
      <c r="B1" s="23" t="s">
        <v>51</v>
      </c>
      <c r="C1" s="23" t="s">
        <v>50</v>
      </c>
      <c r="D1" s="23" t="s">
        <v>49</v>
      </c>
      <c r="E1" s="23" t="s">
        <v>48</v>
      </c>
      <c r="F1" s="22" t="s">
        <v>47</v>
      </c>
    </row>
    <row r="2" spans="1:6" x14ac:dyDescent="0.25">
      <c r="A2" t="s">
        <v>46</v>
      </c>
      <c r="B2">
        <v>1000</v>
      </c>
      <c r="C2">
        <v>4400</v>
      </c>
      <c r="D2">
        <f t="shared" ref="D2:D13" si="0">C2-B2</f>
        <v>3400</v>
      </c>
      <c r="E2">
        <f t="shared" ref="E2:E13" si="1">(D2/2)+B2</f>
        <v>2700</v>
      </c>
      <c r="F2">
        <f t="shared" ref="F2:F13" si="2">D2/2</f>
        <v>1700</v>
      </c>
    </row>
    <row r="3" spans="1:6" x14ac:dyDescent="0.25">
      <c r="A3" t="s">
        <v>45</v>
      </c>
      <c r="B3">
        <v>15000</v>
      </c>
      <c r="C3">
        <v>29000</v>
      </c>
      <c r="D3">
        <f t="shared" si="0"/>
        <v>14000</v>
      </c>
      <c r="E3">
        <f t="shared" si="1"/>
        <v>22000</v>
      </c>
      <c r="F3">
        <f t="shared" si="2"/>
        <v>7000</v>
      </c>
    </row>
    <row r="4" spans="1:6" x14ac:dyDescent="0.25">
      <c r="A4" t="s">
        <v>44</v>
      </c>
      <c r="B4">
        <v>480</v>
      </c>
      <c r="C4">
        <v>1280</v>
      </c>
      <c r="D4">
        <f t="shared" si="0"/>
        <v>800</v>
      </c>
      <c r="E4">
        <f t="shared" si="1"/>
        <v>880</v>
      </c>
      <c r="F4">
        <f t="shared" si="2"/>
        <v>400</v>
      </c>
    </row>
    <row r="5" spans="1:6" x14ac:dyDescent="0.25">
      <c r="A5" t="s">
        <v>43</v>
      </c>
      <c r="B5">
        <v>5500</v>
      </c>
      <c r="C5">
        <v>13000</v>
      </c>
      <c r="D5">
        <f t="shared" si="0"/>
        <v>7500</v>
      </c>
      <c r="E5">
        <f t="shared" si="1"/>
        <v>9250</v>
      </c>
      <c r="F5">
        <f t="shared" si="2"/>
        <v>3750</v>
      </c>
    </row>
    <row r="6" spans="1:6" x14ac:dyDescent="0.25">
      <c r="A6" t="s">
        <v>42</v>
      </c>
      <c r="B6">
        <v>11</v>
      </c>
      <c r="C6">
        <v>60</v>
      </c>
      <c r="D6">
        <f t="shared" si="0"/>
        <v>49</v>
      </c>
      <c r="E6">
        <f t="shared" si="1"/>
        <v>35.5</v>
      </c>
      <c r="F6">
        <f t="shared" si="2"/>
        <v>24.5</v>
      </c>
    </row>
    <row r="7" spans="1:6" x14ac:dyDescent="0.25">
      <c r="A7" t="s">
        <v>41</v>
      </c>
      <c r="B7">
        <v>1500</v>
      </c>
      <c r="C7">
        <v>4400</v>
      </c>
      <c r="D7">
        <f t="shared" si="0"/>
        <v>2900</v>
      </c>
      <c r="E7">
        <f t="shared" si="1"/>
        <v>2950</v>
      </c>
      <c r="F7">
        <f t="shared" si="2"/>
        <v>1450</v>
      </c>
    </row>
    <row r="8" spans="1:6" x14ac:dyDescent="0.25">
      <c r="A8" t="s">
        <v>40</v>
      </c>
      <c r="B8">
        <v>540</v>
      </c>
      <c r="C8">
        <v>1250</v>
      </c>
      <c r="D8">
        <f t="shared" si="0"/>
        <v>710</v>
      </c>
      <c r="E8">
        <f t="shared" si="1"/>
        <v>895</v>
      </c>
      <c r="F8">
        <f t="shared" si="2"/>
        <v>355</v>
      </c>
    </row>
    <row r="9" spans="1:6" x14ac:dyDescent="0.25">
      <c r="A9" t="s">
        <v>39</v>
      </c>
      <c r="B9">
        <v>1000</v>
      </c>
      <c r="C9">
        <v>2500</v>
      </c>
      <c r="D9">
        <f t="shared" si="0"/>
        <v>1500</v>
      </c>
      <c r="E9">
        <f t="shared" si="1"/>
        <v>1750</v>
      </c>
      <c r="F9">
        <f t="shared" si="2"/>
        <v>750</v>
      </c>
    </row>
    <row r="10" spans="1:6" x14ac:dyDescent="0.25">
      <c r="A10" t="s">
        <v>38</v>
      </c>
      <c r="B10">
        <v>220</v>
      </c>
      <c r="C10">
        <v>700</v>
      </c>
      <c r="D10">
        <f t="shared" si="0"/>
        <v>480</v>
      </c>
      <c r="E10">
        <f t="shared" si="1"/>
        <v>460</v>
      </c>
      <c r="F10">
        <f t="shared" si="2"/>
        <v>240</v>
      </c>
    </row>
    <row r="11" spans="1:6" x14ac:dyDescent="0.25">
      <c r="A11" t="s">
        <v>37</v>
      </c>
      <c r="B11">
        <v>630</v>
      </c>
      <c r="C11">
        <v>1300</v>
      </c>
      <c r="D11">
        <f t="shared" si="0"/>
        <v>670</v>
      </c>
      <c r="E11">
        <f t="shared" si="1"/>
        <v>965</v>
      </c>
      <c r="F11">
        <f t="shared" si="2"/>
        <v>335</v>
      </c>
    </row>
    <row r="12" spans="1:6" x14ac:dyDescent="0.25">
      <c r="A12" t="s">
        <v>36</v>
      </c>
      <c r="B12">
        <v>90</v>
      </c>
      <c r="C12">
        <v>250</v>
      </c>
      <c r="D12">
        <f t="shared" si="0"/>
        <v>160</v>
      </c>
      <c r="E12">
        <f t="shared" si="1"/>
        <v>170</v>
      </c>
      <c r="F12">
        <f t="shared" si="2"/>
        <v>80</v>
      </c>
    </row>
    <row r="13" spans="1:6" x14ac:dyDescent="0.25">
      <c r="A13" t="s">
        <v>35</v>
      </c>
      <c r="B13">
        <v>315</v>
      </c>
      <c r="C13">
        <v>890</v>
      </c>
      <c r="D13">
        <f t="shared" si="0"/>
        <v>575</v>
      </c>
      <c r="E13">
        <f t="shared" si="1"/>
        <v>602.5</v>
      </c>
      <c r="F13">
        <f t="shared" si="2"/>
        <v>287.5</v>
      </c>
    </row>
    <row r="15" spans="1:6" x14ac:dyDescent="0.25">
      <c r="B15" s="23" t="s">
        <v>51</v>
      </c>
      <c r="C15" s="23" t="s">
        <v>50</v>
      </c>
      <c r="D15" s="23" t="s">
        <v>49</v>
      </c>
      <c r="E15" s="23" t="s">
        <v>48</v>
      </c>
      <c r="F15" s="22" t="s">
        <v>47</v>
      </c>
    </row>
    <row r="16" spans="1:6" x14ac:dyDescent="0.25">
      <c r="A16" t="s">
        <v>26</v>
      </c>
      <c r="B16">
        <f t="shared" ref="B16:B19" si="3">E16-F16</f>
        <v>10.96</v>
      </c>
      <c r="C16">
        <f t="shared" ref="C16:C19" si="4">E16+F16</f>
        <v>44.96</v>
      </c>
      <c r="D16">
        <f t="shared" ref="D16:D27" si="5">C16-B16</f>
        <v>34</v>
      </c>
      <c r="E16">
        <v>27.96</v>
      </c>
      <c r="F16">
        <v>17</v>
      </c>
    </row>
    <row r="17" spans="1:6" x14ac:dyDescent="0.25">
      <c r="A17" t="s">
        <v>9</v>
      </c>
      <c r="B17">
        <f t="shared" si="3"/>
        <v>150.32</v>
      </c>
      <c r="C17">
        <f t="shared" si="4"/>
        <v>290.32</v>
      </c>
      <c r="D17">
        <f t="shared" si="5"/>
        <v>140</v>
      </c>
      <c r="E17">
        <v>220.32</v>
      </c>
      <c r="F17">
        <v>70</v>
      </c>
    </row>
    <row r="18" spans="1:6" x14ac:dyDescent="0.25">
      <c r="A18" t="s">
        <v>12</v>
      </c>
      <c r="B18">
        <f t="shared" si="3"/>
        <v>5.3900000000000006</v>
      </c>
      <c r="C18">
        <f t="shared" si="4"/>
        <v>13.39</v>
      </c>
      <c r="D18">
        <f t="shared" si="5"/>
        <v>8</v>
      </c>
      <c r="E18">
        <v>9.39</v>
      </c>
      <c r="F18">
        <v>4</v>
      </c>
    </row>
    <row r="19" spans="1:6" x14ac:dyDescent="0.25">
      <c r="A19" t="s">
        <v>10</v>
      </c>
      <c r="B19">
        <f t="shared" si="3"/>
        <v>55.34</v>
      </c>
      <c r="C19">
        <f t="shared" si="4"/>
        <v>130.34</v>
      </c>
      <c r="D19">
        <f t="shared" si="5"/>
        <v>75</v>
      </c>
      <c r="E19">
        <v>92.84</v>
      </c>
      <c r="F19">
        <v>37.5</v>
      </c>
    </row>
    <row r="20" spans="1:6" x14ac:dyDescent="0.25">
      <c r="A20" t="s">
        <v>14</v>
      </c>
      <c r="B20">
        <f>E20-F20</f>
        <v>0.81999999999999984</v>
      </c>
      <c r="C20">
        <f>E20+F20</f>
        <v>5.82</v>
      </c>
      <c r="D20">
        <f t="shared" si="5"/>
        <v>5</v>
      </c>
      <c r="E20">
        <v>3.32</v>
      </c>
      <c r="F20">
        <v>2.5</v>
      </c>
    </row>
    <row r="21" spans="1:6" x14ac:dyDescent="0.25">
      <c r="A21" t="s">
        <v>13</v>
      </c>
      <c r="B21">
        <f t="shared" ref="B21:B27" si="6">E21-F21</f>
        <v>15.760000000000002</v>
      </c>
      <c r="C21">
        <f t="shared" ref="C21:C27" si="7">E21+F21</f>
        <v>44.760000000000005</v>
      </c>
      <c r="D21">
        <f t="shared" si="5"/>
        <v>29.000000000000004</v>
      </c>
      <c r="E21">
        <v>30.26</v>
      </c>
      <c r="F21">
        <v>14.5</v>
      </c>
    </row>
    <row r="22" spans="1:6" x14ac:dyDescent="0.25">
      <c r="A22" t="s">
        <v>15</v>
      </c>
      <c r="B22">
        <f t="shared" si="6"/>
        <v>5.72</v>
      </c>
      <c r="C22">
        <f t="shared" si="7"/>
        <v>12.82</v>
      </c>
      <c r="D22">
        <f t="shared" si="5"/>
        <v>7.1000000000000005</v>
      </c>
      <c r="E22">
        <v>9.27</v>
      </c>
      <c r="F22">
        <v>3.55</v>
      </c>
    </row>
    <row r="23" spans="1:6" x14ac:dyDescent="0.25">
      <c r="A23" t="s">
        <v>18</v>
      </c>
      <c r="B23">
        <f t="shared" si="6"/>
        <v>10.129999999999999</v>
      </c>
      <c r="C23">
        <f t="shared" si="7"/>
        <v>25.13</v>
      </c>
      <c r="D23">
        <f t="shared" si="5"/>
        <v>15</v>
      </c>
      <c r="E23">
        <v>17.63</v>
      </c>
      <c r="F23">
        <v>7.5</v>
      </c>
    </row>
    <row r="24" spans="1:6" x14ac:dyDescent="0.25">
      <c r="A24" t="s">
        <v>16</v>
      </c>
      <c r="B24">
        <f t="shared" si="6"/>
        <v>2.8699999999999997</v>
      </c>
      <c r="C24">
        <f t="shared" si="7"/>
        <v>7.67</v>
      </c>
      <c r="D24">
        <f t="shared" si="5"/>
        <v>4.8000000000000007</v>
      </c>
      <c r="E24">
        <v>5.27</v>
      </c>
      <c r="F24">
        <v>2.4</v>
      </c>
    </row>
    <row r="25" spans="1:6" x14ac:dyDescent="0.25">
      <c r="A25" t="s">
        <v>17</v>
      </c>
      <c r="B25">
        <f t="shared" si="6"/>
        <v>6.93</v>
      </c>
      <c r="C25">
        <f t="shared" si="7"/>
        <v>13.629999999999999</v>
      </c>
      <c r="D25">
        <f t="shared" si="5"/>
        <v>6.6999999999999993</v>
      </c>
      <c r="E25">
        <v>10.28</v>
      </c>
      <c r="F25">
        <v>3.35</v>
      </c>
    </row>
    <row r="26" spans="1:6" x14ac:dyDescent="0.25">
      <c r="A26" t="s">
        <v>8</v>
      </c>
      <c r="B26">
        <f t="shared" si="6"/>
        <v>1</v>
      </c>
      <c r="C26">
        <f t="shared" si="7"/>
        <v>3</v>
      </c>
      <c r="D26">
        <f t="shared" si="5"/>
        <v>2</v>
      </c>
      <c r="E26">
        <v>2</v>
      </c>
      <c r="F26">
        <v>1</v>
      </c>
    </row>
    <row r="27" spans="1:6" x14ac:dyDescent="0.25">
      <c r="A27" t="s">
        <v>11</v>
      </c>
      <c r="B27">
        <f t="shared" si="6"/>
        <v>3.125</v>
      </c>
      <c r="C27">
        <f t="shared" si="7"/>
        <v>8.875</v>
      </c>
      <c r="D27">
        <f t="shared" si="5"/>
        <v>5.75</v>
      </c>
      <c r="E27">
        <v>6</v>
      </c>
      <c r="F27">
        <v>2.875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Play_Area</vt:lpstr>
      <vt:lpstr>Test</vt:lpstr>
      <vt:lpstr>Scope</vt:lpstr>
      <vt:lpstr>Var_Holder</vt:lpstr>
      <vt:lpstr>Sheet1</vt:lpstr>
      <vt:lpstr>DayProgress</vt:lpstr>
      <vt:lpstr>Location</vt:lpstr>
      <vt:lpstr>MoneyOnHandVariable</vt:lpstr>
      <vt:lpstr>PriceList</vt:lpstr>
      <vt:lpstr>PriceMod</vt:lpstr>
      <vt:lpstr>PriceModLocation</vt:lpstr>
      <vt:lpstr>ProductPriceList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2017-08-15T21:53:44Z</dcterms:modified>
</cp:coreProperties>
</file>